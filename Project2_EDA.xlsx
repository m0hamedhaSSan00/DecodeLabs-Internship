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d\Desktop\Project-2-EDA\"/>
    </mc:Choice>
  </mc:AlternateContent>
  <xr:revisionPtr revIDLastSave="0" documentId="8_{E0FF655B-3924-4D1B-A60D-353A901FD3F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2" sheetId="2" r:id="rId1"/>
    <sheet name="Sheet3" sheetId="4" r:id="rId2"/>
    <sheet name="Sheet5" sheetId="5" r:id="rId3"/>
    <sheet name="Sheet6" sheetId="6" r:id="rId4"/>
    <sheet name="Sheet1" sheetId="1" r:id="rId5"/>
  </sheets>
  <definedNames>
    <definedName name="_xlnm._FilterDatabase" localSheetId="4" hidden="1">Sheet1!$B$1:$B$1201</definedName>
  </definedName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Q5" i="1"/>
  <c r="Q4" i="1"/>
  <c r="Q3" i="1"/>
</calcChain>
</file>

<file path=xl/sharedStrings.xml><?xml version="1.0" encoding="utf-8"?>
<sst xmlns="http://schemas.openxmlformats.org/spreadsheetml/2006/main" count="10854" uniqueCount="4294">
  <si>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</si>
  <si>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</si>
  <si>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</si>
  <si>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</si>
  <si>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</si>
  <si>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</si>
  <si>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</si>
  <si>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</si>
  <si>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</si>
  <si>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</si>
  <si>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</si>
  <si>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</si>
  <si>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</si>
  <si>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</si>
  <si>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</si>
  <si>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</si>
  <si>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</si>
  <si>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</si>
  <si>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</si>
  <si>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</si>
  <si>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</si>
  <si>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</si>
  <si>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</si>
  <si>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</si>
  <si>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</si>
  <si>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</si>
  <si>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</si>
  <si>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</si>
  <si>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</si>
  <si>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</si>
  <si>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</si>
  <si>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</si>
  <si>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</si>
  <si>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</si>
  <si>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</si>
  <si>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</si>
  <si>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</si>
  <si>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</si>
  <si>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</si>
  <si>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</si>
  <si>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</si>
  <si>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</si>
  <si>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</si>
  <si>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</si>
  <si>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</si>
  <si>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</si>
  <si>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</si>
  <si>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</si>
  <si>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</si>
  <si>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</si>
  <si>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</si>
  <si>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</si>
  <si>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</si>
  <si>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</si>
  <si>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</si>
  <si>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</si>
  <si>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</si>
  <si>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</si>
  <si>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</si>
  <si>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</si>
  <si>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</si>
  <si>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</si>
  <si>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</si>
  <si>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</si>
  <si>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</si>
  <si>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</si>
  <si>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</si>
  <si>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</si>
  <si>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</si>
  <si>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</si>
  <si>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</si>
  <si>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</si>
  <si>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</si>
  <si>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</si>
  <si>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</si>
  <si>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</si>
  <si>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</si>
  <si>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</si>
  <si>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</si>
  <si>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</si>
  <si>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</si>
  <si>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</si>
  <si>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</si>
  <si>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</si>
  <si>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</si>
  <si>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</si>
  <si>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</si>
  <si>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</si>
  <si>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</si>
  <si>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</si>
  <si>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</si>
  <si>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</si>
  <si>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</si>
  <si>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</si>
  <si>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</si>
  <si>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</si>
  <si>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</si>
  <si>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</si>
  <si>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</si>
  <si>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</si>
  <si>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</si>
  <si>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</si>
  <si>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</si>
  <si>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</si>
  <si>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</si>
  <si>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</si>
  <si>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</si>
  <si>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</si>
  <si>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</si>
  <si>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</si>
  <si>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</si>
  <si>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</si>
  <si>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</si>
  <si>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</si>
  <si>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</si>
  <si>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</si>
  <si>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</si>
  <si>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</si>
  <si>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</si>
  <si>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</si>
  <si>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</si>
  <si>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</si>
  <si>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</si>
  <si>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</si>
  <si>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</si>
  <si>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</si>
  <si>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</si>
  <si>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</si>
  <si>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</si>
  <si>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</si>
  <si>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</si>
  <si>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</si>
  <si>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</si>
  <si>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</si>
  <si>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</si>
  <si>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</si>
  <si>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</si>
  <si>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</si>
  <si>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</si>
  <si>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</si>
  <si>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</si>
  <si>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</si>
  <si>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</si>
  <si>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</si>
  <si>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</si>
  <si>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</si>
  <si>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</si>
  <si>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</si>
  <si>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</si>
  <si>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</si>
  <si>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</si>
  <si>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</si>
  <si>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</si>
  <si>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</si>
  <si>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</si>
  <si>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</si>
  <si>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</si>
  <si>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</si>
  <si>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</si>
  <si>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</si>
  <si>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</si>
  <si>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</si>
  <si>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</si>
  <si>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</si>
  <si>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</si>
  <si>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</si>
  <si>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</si>
  <si>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</si>
  <si>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</si>
  <si>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</si>
  <si>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</si>
  <si>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</si>
  <si>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</si>
  <si>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</si>
  <si>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</si>
  <si>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</si>
  <si>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</si>
  <si>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</si>
  <si>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</si>
  <si>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</si>
  <si>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</si>
  <si>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</si>
  <si>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</si>
  <si>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</si>
  <si>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</si>
  <si>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</si>
  <si>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</si>
  <si>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</si>
  <si>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</si>
  <si>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</si>
  <si>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</si>
  <si>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</si>
  <si>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</si>
  <si>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</si>
  <si>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</si>
  <si>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</si>
  <si>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</si>
  <si>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</si>
  <si>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</si>
  <si>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</si>
  <si>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</si>
  <si>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</si>
  <si>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</si>
  <si>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</si>
  <si>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</si>
  <si>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</si>
  <si>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</si>
  <si>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</si>
  <si>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</si>
  <si>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</si>
  <si>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</si>
  <si>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</si>
  <si>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</si>
  <si>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</si>
  <si>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</si>
  <si>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</si>
  <si>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</si>
  <si>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</si>
  <si>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</si>
  <si>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</si>
  <si>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</si>
  <si>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</si>
  <si>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</si>
  <si>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</si>
  <si>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</si>
  <si>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</si>
  <si>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</si>
  <si>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</si>
  <si>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</si>
  <si>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</si>
  <si>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</si>
  <si>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</si>
  <si>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</si>
  <si>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</si>
  <si>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</si>
  <si>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</si>
  <si>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</si>
  <si>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</si>
  <si>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</si>
  <si>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</si>
  <si>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</si>
  <si>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</si>
  <si>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</si>
  <si>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</si>
  <si>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</si>
  <si>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</si>
  <si>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</si>
  <si>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</si>
  <si>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</si>
  <si>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</si>
  <si>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</si>
  <si>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</si>
  <si>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</si>
  <si>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</si>
  <si>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</si>
  <si>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</si>
  <si>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</si>
  <si>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</si>
  <si>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</si>
  <si>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</si>
  <si>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</si>
  <si>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</si>
  <si>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</si>
  <si>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</si>
  <si>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</si>
  <si>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</si>
  <si>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</si>
  <si>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</si>
  <si>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</si>
  <si>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</si>
  <si>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</si>
  <si>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</si>
  <si>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</si>
  <si>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</si>
  <si>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</si>
  <si>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</si>
  <si>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</si>
  <si>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</si>
  <si>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</si>
  <si>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</si>
  <si>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</si>
  <si>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</si>
  <si>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</si>
  <si>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</si>
  <si>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</si>
  <si>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</si>
  <si>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</si>
  <si>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</si>
  <si>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</si>
  <si>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</si>
  <si>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</si>
  <si>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</si>
  <si>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</si>
  <si>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</si>
  <si>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</si>
  <si>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</si>
  <si>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</si>
  <si>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</si>
  <si>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</si>
  <si>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</si>
  <si>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</si>
  <si>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</si>
  <si>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</si>
  <si>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</si>
  <si>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</si>
  <si>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</si>
  <si>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</si>
  <si>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</si>
  <si>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</si>
  <si>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</si>
  <si>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</si>
  <si>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</si>
  <si>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</si>
  <si>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</si>
  <si>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</si>
  <si>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</si>
  <si>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</si>
  <si>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</si>
  <si>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</si>
  <si>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</si>
  <si>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</si>
  <si>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</si>
  <si>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</si>
  <si>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</si>
  <si>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</si>
  <si>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</si>
  <si>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</si>
  <si>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</si>
  <si>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</si>
  <si>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</si>
  <si>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</si>
  <si>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</si>
  <si>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</si>
  <si>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</si>
  <si>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</si>
  <si>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</si>
  <si>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</si>
  <si>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</si>
  <si>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</si>
  <si>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</si>
  <si>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</si>
  <si>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</si>
  <si>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</si>
  <si>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</si>
  <si>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</si>
  <si>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</si>
  <si>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</si>
  <si>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</si>
  <si>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</si>
  <si>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</si>
  <si>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</si>
  <si>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</si>
  <si>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</si>
  <si>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</si>
  <si>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</si>
  <si>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</si>
  <si>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</si>
  <si>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</si>
  <si>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</si>
  <si>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</si>
  <si>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</si>
  <si>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</si>
  <si>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</si>
  <si>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</si>
  <si>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</si>
  <si>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</si>
  <si>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</si>
  <si>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</si>
  <si>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</si>
  <si>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</si>
  <si>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</si>
  <si>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</si>
  <si>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</si>
  <si>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</si>
  <si>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</si>
  <si>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</si>
  <si>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</si>
  <si>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</si>
  <si>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</si>
  <si>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</si>
  <si>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</si>
  <si>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</si>
  <si>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</si>
  <si>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</si>
  <si>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</si>
  <si>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</si>
  <si>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</si>
  <si>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</si>
  <si>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</si>
  <si>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</si>
  <si>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</si>
  <si>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</si>
  <si>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</si>
  <si>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</si>
  <si>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</si>
  <si>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</si>
  <si>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</si>
  <si>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</si>
  <si>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</si>
  <si>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</si>
  <si>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</si>
  <si>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</si>
  <si>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</si>
  <si>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</si>
  <si>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</si>
  <si>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</si>
  <si>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</si>
  <si>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</si>
  <si>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</si>
  <si>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</si>
  <si>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</si>
  <si>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</si>
  <si>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</si>
  <si>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</si>
  <si>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</si>
  <si>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</si>
  <si>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</si>
  <si>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</si>
  <si>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</si>
  <si>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</si>
  <si>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</si>
  <si>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</si>
  <si>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</si>
  <si>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</si>
  <si>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</si>
  <si>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</si>
  <si>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</si>
  <si>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</si>
  <si>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</si>
  <si>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</si>
  <si>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</si>
  <si>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</si>
  <si>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</si>
  <si>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</si>
  <si>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</si>
  <si>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</si>
  <si>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</si>
  <si>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</si>
  <si>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</si>
  <si>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</si>
  <si>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</si>
  <si>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</si>
  <si>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</si>
  <si>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</si>
  <si>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</si>
  <si>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</si>
  <si>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</si>
  <si>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</si>
  <si>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</si>
  <si>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</si>
  <si>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</si>
  <si>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</si>
  <si>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</si>
  <si>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</si>
  <si>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</si>
  <si>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</si>
  <si>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</si>
  <si>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</si>
  <si>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</si>
  <si>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</si>
  <si>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</si>
  <si>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</si>
  <si>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</si>
  <si>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</si>
  <si>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</si>
  <si>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</si>
  <si>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</si>
  <si>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</si>
  <si>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</si>
  <si>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</si>
  <si>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</si>
  <si>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</si>
  <si>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</si>
  <si>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</si>
  <si>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</si>
  <si>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</si>
  <si>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</si>
  <si>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</si>
  <si>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</si>
  <si>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</si>
  <si>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</si>
  <si>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</si>
  <si>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</si>
  <si>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</si>
  <si>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</si>
  <si>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</si>
  <si>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</si>
  <si>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</si>
  <si>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</si>
  <si>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</si>
  <si>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</si>
  <si>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</si>
  <si>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</si>
  <si>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</si>
  <si>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</si>
  <si>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</si>
  <si>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</si>
  <si>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</si>
  <si>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</si>
  <si>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</si>
  <si>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</si>
  <si>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</si>
  <si>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</si>
  <si>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</si>
  <si>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</si>
  <si>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</si>
  <si>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</si>
  <si>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</si>
  <si>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</si>
  <si>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</si>
  <si>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</si>
  <si>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</si>
  <si>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</si>
  <si>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</si>
  <si>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</si>
  <si>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</si>
  <si>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</si>
  <si>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</si>
  <si>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</si>
  <si>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</si>
  <si>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</si>
  <si>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</si>
  <si>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</si>
  <si>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</si>
  <si>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</si>
  <si>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</si>
  <si>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</si>
  <si>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</si>
  <si>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</si>
  <si>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</si>
  <si>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</si>
  <si>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</si>
  <si>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</si>
  <si>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</si>
  <si>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</si>
  <si>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</si>
  <si>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</si>
  <si>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</si>
  <si>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</si>
  <si>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</si>
  <si>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</si>
  <si>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</si>
  <si>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</si>
  <si>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</si>
  <si>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</si>
  <si>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</si>
  <si>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</si>
  <si>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</si>
  <si>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</si>
  <si>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</si>
  <si>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</si>
  <si>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</si>
  <si>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</si>
  <si>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</si>
  <si>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</si>
  <si>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</si>
  <si>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</si>
  <si>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</si>
  <si>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</si>
  <si>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</si>
  <si>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</si>
  <si>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</si>
  <si>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</si>
  <si>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</si>
  <si>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</si>
  <si>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</si>
  <si>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</si>
  <si>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</si>
  <si>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</si>
  <si>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</si>
  <si>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</si>
  <si>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</si>
  <si>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</si>
  <si>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</si>
  <si>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</si>
  <si>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</si>
  <si>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</si>
  <si>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</si>
  <si>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</si>
  <si>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</si>
  <si>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</si>
  <si>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</si>
  <si>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</si>
  <si>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</si>
  <si>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</si>
  <si>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</si>
  <si>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</si>
  <si>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</si>
  <si>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</si>
  <si>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</si>
  <si>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</si>
  <si>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</si>
  <si>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</si>
  <si>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</si>
  <si>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</si>
  <si>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</si>
  <si>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</si>
  <si>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</si>
  <si>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</si>
  <si>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</si>
  <si>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</si>
  <si>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</si>
  <si>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</si>
  <si>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</si>
  <si>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</si>
  <si>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</si>
  <si>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</si>
  <si>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</si>
  <si>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</si>
  <si>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</si>
  <si>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</si>
  <si>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</si>
  <si>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</si>
  <si>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</si>
  <si>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</si>
  <si>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</si>
  <si>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</si>
  <si>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</si>
  <si>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</si>
  <si>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</si>
  <si>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</si>
  <si>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</si>
  <si>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</si>
  <si>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</si>
  <si>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</si>
  <si>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</si>
  <si>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</si>
  <si>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</si>
  <si>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</si>
  <si>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</si>
  <si>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</si>
  <si>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</si>
  <si>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</si>
  <si>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</si>
  <si>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</si>
  <si>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</si>
  <si>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</si>
  <si>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</si>
  <si>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</si>
  <si>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</si>
  <si>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</si>
  <si>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</si>
  <si>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</si>
  <si>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</si>
  <si>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</si>
  <si>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</si>
  <si>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</si>
  <si>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</si>
  <si>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</si>
  <si>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</si>
  <si>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</si>
  <si>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</si>
  <si>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</si>
  <si>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</si>
  <si>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</si>
  <si>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</si>
  <si>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</si>
  <si>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</si>
  <si>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</si>
  <si>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</si>
  <si>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</si>
  <si>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</si>
  <si>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</si>
  <si>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</si>
  <si>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</si>
  <si>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</si>
  <si>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</si>
  <si>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</si>
  <si>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</si>
  <si>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</si>
  <si>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</si>
  <si>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</si>
  <si>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</si>
  <si>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</si>
  <si>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</si>
  <si>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</si>
  <si>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</si>
  <si>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</si>
  <si>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</si>
  <si>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</si>
  <si>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</si>
  <si>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</si>
  <si>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</si>
  <si>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</si>
  <si>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</si>
  <si>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</si>
  <si>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</si>
  <si>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</si>
  <si>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</si>
  <si>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</si>
  <si>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</si>
  <si>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</si>
  <si>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</si>
  <si>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</si>
  <si>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</si>
  <si>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</si>
  <si>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</si>
  <si>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</si>
  <si>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</si>
  <si>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</si>
  <si>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</si>
  <si>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</si>
  <si>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</si>
  <si>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</si>
  <si>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</si>
  <si>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</si>
  <si>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</si>
  <si>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</si>
  <si>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</si>
  <si>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</si>
  <si>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</si>
  <si>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</si>
  <si>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</si>
  <si>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</si>
  <si>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</si>
  <si>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</si>
  <si>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</si>
  <si>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</si>
  <si>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</si>
  <si>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</si>
  <si>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</si>
  <si>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</si>
  <si>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</si>
  <si>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</si>
  <si>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</si>
  <si>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</si>
  <si>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</si>
  <si>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</si>
  <si>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</si>
  <si>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</si>
  <si>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</si>
  <si>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</si>
  <si>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</si>
  <si>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</si>
  <si>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</si>
  <si>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</si>
  <si>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</si>
  <si>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</si>
  <si>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</si>
  <si>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</si>
  <si>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</si>
  <si>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</si>
  <si>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</si>
  <si>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</si>
  <si>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</si>
  <si>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</si>
  <si>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</si>
  <si>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</si>
  <si>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</si>
  <si>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</si>
  <si>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</si>
  <si>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</si>
  <si>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</si>
  <si>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</si>
  <si>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</si>
  <si>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</si>
  <si>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</si>
  <si>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</si>
  <si>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</si>
  <si>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</si>
  <si>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</si>
  <si>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</si>
  <si>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</si>
  <si>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</si>
  <si>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</si>
  <si>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</si>
  <si>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</si>
  <si>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</si>
  <si>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</si>
  <si>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</si>
  <si>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</si>
  <si>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</si>
  <si>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</si>
  <si>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</si>
  <si>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</si>
  <si>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</si>
  <si>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</si>
  <si>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</si>
  <si>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</si>
  <si>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</si>
  <si>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</si>
  <si>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</si>
  <si>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</si>
  <si>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</si>
  <si>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</si>
  <si>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</si>
  <si>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</si>
  <si>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</si>
  <si>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</si>
  <si>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</si>
  <si>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</si>
  <si>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</si>
  <si>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</si>
  <si>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</si>
  <si>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</si>
  <si>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</si>
  <si>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</si>
  <si>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</si>
  <si>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</si>
  <si>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</si>
  <si>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</si>
  <si>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</si>
  <si>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</si>
  <si>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</si>
  <si>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</si>
  <si>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</si>
  <si>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</si>
  <si>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</si>
  <si>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</si>
  <si>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</si>
  <si>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</si>
  <si>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</si>
  <si>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</si>
  <si>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</si>
  <si>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</si>
  <si>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</si>
  <si>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</si>
  <si>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</si>
  <si>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</si>
  <si>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</si>
  <si>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</si>
  <si>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</si>
  <si>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</si>
  <si>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</si>
  <si>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</si>
  <si>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</si>
  <si>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</si>
  <si>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</si>
  <si>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</si>
  <si>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</si>
  <si>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</si>
  <si>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</si>
  <si>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</si>
  <si>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</si>
  <si>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</si>
  <si>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</si>
  <si>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</si>
  <si>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</si>
  <si>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</si>
  <si>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</si>
  <si>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</si>
  <si>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</si>
  <si>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</si>
  <si>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</si>
  <si>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</si>
  <si>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</si>
  <si>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</si>
  <si>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</si>
  <si>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</si>
  <si>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</si>
  <si>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</si>
  <si>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</si>
  <si>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</si>
  <si>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</si>
  <si>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</si>
  <si>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</si>
  <si>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</si>
  <si>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</si>
  <si>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</si>
  <si>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</si>
  <si>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</si>
  <si>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</si>
  <si>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</si>
  <si>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</si>
  <si>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</si>
  <si>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</si>
  <si>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</si>
  <si>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</si>
  <si>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</si>
  <si>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</si>
  <si>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</si>
  <si>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</si>
  <si>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</si>
  <si>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</si>
  <si>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</si>
  <si>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</si>
  <si>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</si>
  <si>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</si>
  <si>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</si>
  <si>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</si>
  <si>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</si>
  <si>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</si>
  <si>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</si>
  <si>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</si>
  <si>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</si>
  <si>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</si>
  <si>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</si>
  <si>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</si>
  <si>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</si>
  <si>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</si>
  <si>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</si>
  <si>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</si>
  <si>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</si>
  <si>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</si>
  <si>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</si>
  <si>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</si>
  <si>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</si>
  <si>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</si>
  <si>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</si>
  <si>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</si>
  <si>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</si>
  <si>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</si>
  <si>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</si>
  <si>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</si>
  <si>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</si>
  <si>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</si>
  <si>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</si>
  <si>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</si>
  <si>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</si>
  <si>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</si>
  <si>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</si>
  <si>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</si>
  <si>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</si>
  <si>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</si>
  <si>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</si>
  <si>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</si>
  <si>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</si>
  <si>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</si>
  <si>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</si>
  <si>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</si>
  <si>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</si>
  <si>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</si>
  <si>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</si>
  <si>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</si>
  <si>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</si>
  <si>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</si>
  <si>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</si>
  <si>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</si>
  <si>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</si>
  <si>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</si>
  <si>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</si>
  <si>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</si>
  <si>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</si>
  <si>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</si>
  <si>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</si>
  <si>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</si>
  <si>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</si>
  <si>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</si>
  <si>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</si>
  <si>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</si>
  <si>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</si>
  <si>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</si>
  <si>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</si>
  <si>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</si>
  <si>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</si>
  <si>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</si>
  <si>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</si>
  <si>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</si>
  <si>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</si>
  <si>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</si>
  <si>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</si>
  <si>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</si>
  <si>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</si>
  <si>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</si>
  <si>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</si>
  <si>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</si>
  <si>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</si>
  <si>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</si>
  <si>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</si>
  <si>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</si>
  <si>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</si>
  <si>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</si>
  <si>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</si>
  <si>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</si>
  <si>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</si>
  <si>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</si>
  <si>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</si>
  <si>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</si>
  <si>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</si>
  <si>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</si>
  <si>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</si>
  <si>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</si>
  <si>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</si>
  <si>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</si>
  <si>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</si>
  <si>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</si>
  <si>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</si>
  <si>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</si>
  <si>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</si>
  <si>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</si>
  <si>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</si>
  <si>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</si>
  <si>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</si>
  <si>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</si>
  <si>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</si>
  <si>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</si>
  <si>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</si>
  <si>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</si>
  <si>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</si>
  <si>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</si>
  <si>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</si>
  <si>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</si>
  <si>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</si>
  <si>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</si>
  <si>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</si>
  <si>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</si>
  <si>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</si>
  <si>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</si>
  <si>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</si>
  <si>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</si>
  <si>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</si>
  <si>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</si>
  <si>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</si>
  <si>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</si>
  <si>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</si>
  <si>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</si>
  <si>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</si>
  <si>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</si>
  <si>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</si>
  <si>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</si>
  <si>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</si>
  <si>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</si>
  <si>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</si>
  <si>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</si>
  <si>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</si>
  <si>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</si>
  <si>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</si>
  <si>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</si>
  <si>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</si>
  <si>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</si>
  <si>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</si>
  <si>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</si>
  <si>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</si>
  <si>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</si>
  <si>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</si>
  <si>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</si>
  <si>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</si>
  <si>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</si>
  <si>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</si>
  <si>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</si>
  <si>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</si>
  <si>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</si>
  <si>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</si>
  <si>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</si>
  <si>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</si>
  <si>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</si>
  <si>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</si>
  <si>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</si>
  <si>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</si>
  <si>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</si>
  <si>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</si>
  <si>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</si>
  <si>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</si>
  <si>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</si>
  <si>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</si>
  <si>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</si>
  <si>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</si>
  <si>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</si>
  <si>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</si>
  <si>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</si>
  <si>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</si>
  <si>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</si>
  <si>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</si>
  <si>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</si>
  <si>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</si>
  <si>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</si>
  <si>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</si>
  <si>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</si>
  <si>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</si>
  <si>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</si>
  <si>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</si>
  <si>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</si>
  <si>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</si>
  <si>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</si>
  <si>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</si>
  <si>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</si>
  <si>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</si>
  <si>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</si>
  <si>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</si>
  <si>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</si>
  <si>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</si>
  <si>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</si>
  <si>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</si>
  <si>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</si>
  <si>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</si>
  <si>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</si>
  <si>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</si>
  <si>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</si>
  <si>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</si>
  <si>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</si>
  <si>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</si>
  <si>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</si>
  <si>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</si>
  <si>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</si>
  <si>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</si>
  <si>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</si>
  <si>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</si>
  <si>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</si>
  <si>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</si>
  <si>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</si>
  <si>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</si>
  <si>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</si>
  <si>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</si>
  <si>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</si>
  <si>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</si>
  <si>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</si>
  <si>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</si>
  <si>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</si>
  <si>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</si>
  <si>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</si>
  <si>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</si>
  <si>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</si>
  <si>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</si>
  <si>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</si>
  <si>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</si>
  <si>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</si>
  <si>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</si>
  <si>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</si>
  <si>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</si>
  <si>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</si>
  <si>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</si>
  <si>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</si>
  <si>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</si>
  <si>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</si>
  <si>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</si>
  <si>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</si>
  <si>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</si>
  <si>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</si>
  <si>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</si>
  <si>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</si>
  <si>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</si>
  <si>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</si>
  <si>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</si>
  <si>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</si>
  <si>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</si>
  <si>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</si>
  <si>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</si>
  <si>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</si>
  <si>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</si>
  <si>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</si>
  <si>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</si>
  <si>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</si>
  <si>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</si>
  <si>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</si>
  <si>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</si>
  <si>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</si>
  <si>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</si>
  <si>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</si>
  <si>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</si>
  <si>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</si>
  <si>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</si>
  <si>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</si>
  <si>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</si>
  <si>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</si>
  <si>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</si>
  <si>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</si>
  <si>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</si>
  <si>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</si>
  <si>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</si>
  <si>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</si>
  <si>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</si>
  <si>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</si>
  <si>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</si>
  <si>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</si>
  <si>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</si>
  <si>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</si>
  <si>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</si>
  <si>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</si>
  <si>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</si>
  <si>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</si>
  <si>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</si>
  <si>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</si>
  <si>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</si>
  <si>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</si>
  <si>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</si>
  <si>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</si>
  <si>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</si>
  <si>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</si>
  <si>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</si>
  <si>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</si>
  <si>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</si>
  <si>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</si>
  <si>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</si>
  <si>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</si>
  <si>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</si>
  <si>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</si>
  <si>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</si>
  <si>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</si>
  <si>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</si>
  <si>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</si>
  <si>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</si>
  <si>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</si>
  <si>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</si>
  <si>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</si>
  <si>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</si>
  <si>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</si>
  <si>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</si>
  <si>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</si>
  <si>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</si>
  <si>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</si>
  <si>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</si>
  <si>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</si>
  <si>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</si>
  <si>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</si>
  <si>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</si>
  <si>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</si>
  <si>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</si>
  <si>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</si>
  <si>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</si>
  <si>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</si>
  <si>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</si>
  <si>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</si>
  <si>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</si>
  <si>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</si>
  <si>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</si>
  <si>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</si>
  <si>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</si>
  <si>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</si>
  <si>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</si>
  <si>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</si>
  <si>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</si>
  <si>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</si>
  <si>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</si>
  <si>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</si>
  <si>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</si>
  <si>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</si>
  <si>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</si>
  <si>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</si>
  <si>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</si>
  <si>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</si>
  <si>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</si>
  <si>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</si>
  <si>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</si>
  <si>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</si>
  <si>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</si>
  <si>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</si>
  <si>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</si>
  <si>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</si>
  <si>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</si>
  <si>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</si>
  <si>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</si>
  <si>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</si>
  <si>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</si>
  <si>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</si>
  <si>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</si>
  <si>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</si>
  <si>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</si>
  <si>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</si>
  <si>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</si>
  <si>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</si>
  <si>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</si>
  <si>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</si>
  <si>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</si>
  <si>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</si>
  <si>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</si>
  <si>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</si>
  <si>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</si>
  <si>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</si>
  <si>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</si>
  <si>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</si>
  <si>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</si>
  <si>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</si>
  <si>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</si>
  <si>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</si>
  <si>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</si>
  <si>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</si>
  <si>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</si>
  <si>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</si>
  <si>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</si>
  <si>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</si>
  <si>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</si>
  <si>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</si>
  <si>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</si>
  <si>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</si>
  <si>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</si>
  <si>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</si>
  <si>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</si>
  <si>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</si>
  <si>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</si>
  <si>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</si>
  <si>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</si>
  <si>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</si>
  <si>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</si>
  <si>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</si>
  <si>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</si>
  <si>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</si>
  <si>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</si>
  <si>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</si>
  <si>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</si>
  <si>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</si>
  <si>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</si>
  <si>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</si>
  <si>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</si>
  <si>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</si>
  <si>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</si>
  <si>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</si>
  <si>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</si>
  <si>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</si>
  <si>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</si>
  <si>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</si>
  <si>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</si>
  <si>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</si>
  <si>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</si>
  <si>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</si>
  <si>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</si>
  <si>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</si>
  <si>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</si>
  <si>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</si>
  <si>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</si>
  <si>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</si>
  <si>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</si>
  <si>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</si>
  <si>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</si>
  <si>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</si>
  <si>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</si>
  <si>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</si>
  <si>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</si>
  <si>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</si>
  <si>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</si>
  <si>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</si>
  <si>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</si>
  <si>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</si>
  <si>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</si>
  <si>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</si>
  <si>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</si>
  <si>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</si>
  <si>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</si>
  <si>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</si>
  <si>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</si>
  <si>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</si>
  <si>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</si>
  <si>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</si>
  <si>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</si>
  <si>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</si>
  <si>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</si>
  <si>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</si>
  <si>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</si>
  <si>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</si>
  <si>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</si>
  <si>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</si>
  <si>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</si>
  <si>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</si>
  <si>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</si>
  <si>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</si>
  <si>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</si>
  <si>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</si>
  <si>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</si>
  <si>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</si>
  <si>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</si>
  <si>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</si>
  <si>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</si>
  <si>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</si>
  <si>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</si>
  <si>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</si>
  <si>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</si>
  <si>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</si>
  <si>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</si>
  <si>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</si>
  <si>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</si>
  <si>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</si>
  <si>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</si>
  <si>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</si>
  <si>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</si>
  <si>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</si>
  <si>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</si>
  <si>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</si>
  <si>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</si>
  <si>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</si>
  <si>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</si>
  <si>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</si>
  <si>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</si>
  <si>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</si>
  <si>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</si>
  <si>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</si>
  <si>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</si>
  <si>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</si>
  <si>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</si>
  <si>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</si>
  <si>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</si>
  <si>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</si>
  <si>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</si>
  <si>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</si>
  <si>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</si>
  <si>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</si>
  <si>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</si>
  <si>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</si>
  <si>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</si>
  <si>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</si>
  <si>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</si>
  <si>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</si>
  <si>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</si>
  <si>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</si>
  <si>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</si>
  <si>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</si>
  <si>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</si>
  <si>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</si>
  <si>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</si>
  <si>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</si>
  <si>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</si>
  <si>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</si>
  <si>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</si>
  <si>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</si>
  <si>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</si>
  <si>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</si>
  <si>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</si>
  <si>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</si>
  <si>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</si>
  <si>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</si>
  <si>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</si>
  <si>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</si>
  <si>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</si>
  <si>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</si>
  <si>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</si>
  <si>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</si>
  <si>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</si>
  <si>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</si>
  <si>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</si>
  <si>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</si>
  <si>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</si>
  <si>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</si>
  <si>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</si>
  <si>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</si>
  <si>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</si>
  <si>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</si>
  <si>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</si>
  <si>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</si>
  <si>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</si>
  <si>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</si>
  <si>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</si>
  <si>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</si>
  <si>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</si>
  <si>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</si>
  <si>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</si>
  <si>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</si>
  <si>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</si>
  <si>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</si>
  <si>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</si>
  <si>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</si>
  <si>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</si>
  <si>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</si>
  <si>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</si>
  <si>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</si>
  <si>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</si>
  <si>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</si>
  <si>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</si>
  <si>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</si>
  <si>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</si>
  <si>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</si>
  <si>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</si>
  <si>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</si>
  <si>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</si>
  <si>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</si>
  <si>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</si>
  <si>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</si>
  <si>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</si>
  <si>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</si>
  <si>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</si>
  <si>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</si>
  <si>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</si>
  <si>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</si>
  <si>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</si>
  <si>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</si>
  <si>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</si>
  <si>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</si>
  <si>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</si>
  <si>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</si>
  <si>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</si>
  <si>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</si>
  <si>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</si>
  <si>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</si>
  <si>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</si>
  <si>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</si>
  <si>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</si>
  <si>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</si>
  <si>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</si>
  <si>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</si>
  <si>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</si>
  <si>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</si>
  <si>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</si>
  <si>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</si>
  <si>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</si>
  <si>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</si>
  <si>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</si>
  <si>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</si>
  <si>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</si>
  <si>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</si>
  <si>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</si>
  <si>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</si>
  <si>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</si>
  <si>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</si>
  <si>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</si>
  <si>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</si>
  <si>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</si>
  <si>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</si>
  <si>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</si>
  <si>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</si>
  <si>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</si>
  <si>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</si>
  <si>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</si>
  <si>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</si>
  <si>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</si>
  <si>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</si>
  <si>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</si>
  <si>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</si>
  <si>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</si>
  <si>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</si>
  <si>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</si>
  <si>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</si>
  <si>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</si>
  <si>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</si>
  <si>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</si>
  <si>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</si>
  <si>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</si>
  <si>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</si>
  <si>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</si>
  <si>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</si>
  <si>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</si>
  <si>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</si>
  <si>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</si>
  <si>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</si>
  <si>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</si>
  <si>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</si>
  <si>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</si>
  <si>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</si>
  <si>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</si>
  <si>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</si>
  <si>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</si>
  <si>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</si>
  <si>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</si>
  <si>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</si>
  <si>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</si>
  <si>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</si>
  <si>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</si>
  <si>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</si>
  <si>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</si>
  <si>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</si>
  <si>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</si>
  <si>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</si>
  <si>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</si>
  <si>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</si>
  <si>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</si>
  <si>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</si>
  <si>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</si>
  <si>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</si>
  <si>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</si>
  <si>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</si>
  <si>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</si>
  <si>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</si>
  <si>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</si>
  <si>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</si>
  <si>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</si>
  <si>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</si>
  <si>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</si>
  <si>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</si>
  <si>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</si>
  <si>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</si>
  <si>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</si>
  <si>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</si>
  <si>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</si>
  <si>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</si>
  <si>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</si>
  <si>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</si>
  <si>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</si>
  <si>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</si>
  <si>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</si>
  <si>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</si>
  <si>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</si>
  <si>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</si>
  <si>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</si>
  <si>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</si>
  <si>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</si>
  <si>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</si>
  <si>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</si>
  <si>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</si>
  <si>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</si>
  <si>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</si>
  <si>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</si>
  <si>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</si>
  <si>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</si>
  <si>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</si>
  <si>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</si>
  <si>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</si>
  <si>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</si>
  <si>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</si>
  <si>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</si>
  <si>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</si>
  <si>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</si>
  <si>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</si>
  <si>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</si>
  <si>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</si>
  <si>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</si>
  <si>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</si>
  <si>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</si>
  <si>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</si>
  <si>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</si>
  <si>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</si>
  <si>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</si>
  <si>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</si>
  <si>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</si>
  <si>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</si>
  <si>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</si>
  <si>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</si>
  <si>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</si>
  <si>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</si>
  <si>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</si>
  <si>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</si>
  <si>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</si>
  <si>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</si>
  <si>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</si>
  <si>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</si>
  <si>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</si>
  <si>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</si>
  <si>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</si>
  <si>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</si>
  <si>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</si>
  <si>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</si>
  <si>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</si>
  <si>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</si>
  <si>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</si>
  <si>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</si>
  <si>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</si>
  <si>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</si>
  <si>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</si>
  <si>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</si>
  <si>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</si>
  <si>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</si>
  <si>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</si>
  <si>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</si>
  <si>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</si>
  <si>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</si>
  <si>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</si>
  <si>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</si>
  <si>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</si>
  <si>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</si>
  <si>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</si>
  <si>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</si>
  <si>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</si>
  <si>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</si>
  <si>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</si>
  <si>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</si>
  <si>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</si>
  <si>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</si>
  <si>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</si>
  <si>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</si>
  <si>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</si>
  <si>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</si>
  <si>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</si>
  <si>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</si>
  <si>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</si>
  <si>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</si>
  <si>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</si>
  <si>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</si>
  <si>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</si>
  <si>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</si>
  <si>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</si>
  <si>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</si>
  <si>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</si>
  <si>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</si>
  <si>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</si>
  <si>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</si>
  <si>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</si>
  <si>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</si>
  <si>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</si>
  <si>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</si>
  <si>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</si>
  <si>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</si>
  <si>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</si>
  <si>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</si>
  <si>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</si>
  <si>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</si>
  <si>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</si>
  <si>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</si>
  <si>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</si>
  <si>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</si>
  <si>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</si>
  <si>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</si>
  <si>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</si>
  <si>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</si>
  <si>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</si>
  <si>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</si>
  <si>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</si>
  <si>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</si>
  <si>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</si>
  <si>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</si>
  <si>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</si>
  <si>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</si>
  <si>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</si>
  <si>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</si>
  <si>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</si>
  <si>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</si>
  <si>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</si>
  <si>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</si>
  <si>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</si>
  <si>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</si>
  <si>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</si>
  <si>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</si>
  <si>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</si>
  <si>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</si>
  <si>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</si>
  <si>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</si>
  <si>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</si>
  <si>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</si>
  <si>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</si>
  <si>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</si>
  <si>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</si>
  <si>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</si>
  <si>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</si>
  <si>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</si>
  <si>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</si>
  <si>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</si>
  <si>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</si>
  <si>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</si>
  <si>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</si>
  <si>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</si>
  <si>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</si>
  <si>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</si>
  <si>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</si>
  <si>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</si>
  <si>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</si>
  <si>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</si>
  <si>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</si>
  <si>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</si>
  <si>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</si>
  <si>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</si>
  <si>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</si>
  <si>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</si>
  <si>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</si>
  <si>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</si>
  <si>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</si>
  <si>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</si>
  <si>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</si>
  <si>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</si>
  <si>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</si>
  <si>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</si>
  <si>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</si>
  <si>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</si>
  <si>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</si>
  <si>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</si>
  <si>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</si>
  <si>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</si>
  <si>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</si>
  <si>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</si>
  <si>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</si>
  <si>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</si>
  <si>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</si>
  <si>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</si>
  <si>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</si>
  <si>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</si>
  <si>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</si>
  <si>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</si>
  <si>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</si>
  <si>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</si>
  <si>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</si>
  <si>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</si>
  <si>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</si>
  <si>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</si>
  <si>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</si>
  <si>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</si>
  <si>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</si>
  <si>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</si>
  <si>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</si>
  <si>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</si>
  <si>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</si>
  <si>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</si>
  <si>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</si>
  <si>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</si>
  <si>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</si>
  <si>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</si>
  <si>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</si>
  <si>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</si>
  <si>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</si>
  <si>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</si>
  <si>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</si>
  <si>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</si>
  <si>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</si>
  <si>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</si>
  <si>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</si>
  <si>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</si>
  <si>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</si>
  <si>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</si>
  <si>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</si>
  <si>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</si>
  <si>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</si>
  <si>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</si>
  <si>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</si>
  <si>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</si>
  <si>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</si>
  <si>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</si>
  <si>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</si>
  <si>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</si>
  <si>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</si>
  <si>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</si>
  <si>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</si>
  <si>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</si>
  <si>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</si>
  <si>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</si>
  <si>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</si>
  <si>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</si>
  <si>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</si>
  <si>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</si>
  <si>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</si>
  <si>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</si>
  <si>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</si>
  <si>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</si>
  <si>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</si>
  <si>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</si>
  <si>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</si>
  <si>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</si>
  <si>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</si>
  <si>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</si>
  <si>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</si>
  <si>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</si>
  <si>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</si>
  <si>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</si>
  <si>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</si>
  <si>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</si>
  <si>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</si>
  <si>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</si>
  <si>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</si>
  <si>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</si>
  <si>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</si>
  <si>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</si>
  <si>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</si>
  <si>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</si>
  <si>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</si>
  <si>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</si>
  <si>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</si>
  <si>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</si>
  <si>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</si>
  <si>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</si>
  <si>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</si>
  <si>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</si>
  <si>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</si>
  <si>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</si>
  <si>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</si>
  <si>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</si>
  <si>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</si>
  <si>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</si>
  <si>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</si>
  <si>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</si>
  <si>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</si>
  <si>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</si>
  <si>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</si>
  <si>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</si>
  <si>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</si>
  <si>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</si>
  <si>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</si>
  <si>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</si>
  <si>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</si>
  <si>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</si>
  <si>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</si>
  <si>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</si>
  <si>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</si>
  <si>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</si>
  <si>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</si>
  <si>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</si>
  <si>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</si>
  <si>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</si>
  <si>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</si>
  <si>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</si>
  <si>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</si>
  <si>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</si>
  <si>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</si>
  <si>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</si>
  <si>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</si>
  <si>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</si>
  <si>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</si>
  <si>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</si>
  <si>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</si>
  <si>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</si>
  <si>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</si>
  <si>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</si>
  <si>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</si>
  <si>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</si>
  <si>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</si>
  <si>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</si>
  <si>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</si>
  <si>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</si>
  <si>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</si>
  <si>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</si>
  <si>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</si>
  <si>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</si>
  <si>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</si>
  <si>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</si>
  <si>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</si>
  <si>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</si>
  <si>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</si>
  <si>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</si>
  <si>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</si>
  <si>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</si>
  <si>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</si>
  <si>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</si>
  <si>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</si>
  <si>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</si>
  <si>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</si>
  <si>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</si>
  <si>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</si>
  <si>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</si>
  <si>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</si>
  <si>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</si>
  <si>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</si>
  <si>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</si>
  <si>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</si>
  <si>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</si>
  <si>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</si>
  <si>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</si>
  <si>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</si>
  <si>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</si>
  <si>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</si>
  <si>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</si>
  <si>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</si>
  <si>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</si>
  <si>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</si>
  <si>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</si>
  <si>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</si>
  <si>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</si>
  <si>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</si>
  <si>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</si>
  <si>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</si>
  <si>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</si>
  <si>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</si>
  <si>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</si>
  <si>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</si>
  <si>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</si>
  <si>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</si>
  <si>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</si>
  <si>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</si>
  <si>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</si>
  <si>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</si>
  <si>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</si>
  <si>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</si>
  <si>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</si>
  <si>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</si>
  <si>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</si>
  <si>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</si>
  <si>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</si>
  <si>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</si>
  <si>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</si>
  <si>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</si>
  <si>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</si>
  <si>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</si>
  <si>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</si>
  <si>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</si>
  <si>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</si>
  <si>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</si>
  <si>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</si>
  <si>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</si>
  <si>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</si>
  <si>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</si>
  <si>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</si>
  <si>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</si>
  <si>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</si>
  <si>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</si>
  <si>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</si>
  <si>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</si>
  <si>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</si>
  <si>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</si>
  <si>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</si>
  <si>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</si>
  <si>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</si>
  <si>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</si>
  <si>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</si>
  <si>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</si>
  <si>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</si>
  <si>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</si>
  <si>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</si>
  <si>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</si>
  <si>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</si>
  <si>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</si>
  <si>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</si>
  <si>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</si>
  <si>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</si>
  <si>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</si>
  <si>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</si>
  <si>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</si>
  <si>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</si>
  <si>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</si>
  <si>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</si>
  <si>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</si>
  <si>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</si>
  <si>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</si>
  <si>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</si>
  <si>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</si>
  <si>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</si>
  <si>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</si>
  <si>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</si>
  <si>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</si>
  <si>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</si>
  <si>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</si>
  <si>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</si>
  <si>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</si>
  <si>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</si>
  <si>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</si>
  <si>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</si>
  <si>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</si>
  <si>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</si>
  <si>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</si>
  <si>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</si>
  <si>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</si>
  <si>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</si>
  <si>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</si>
  <si>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</si>
  <si>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</si>
  <si>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</si>
  <si>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</si>
  <si>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</si>
  <si>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</si>
  <si>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</si>
  <si>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</si>
  <si>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</si>
  <si>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</si>
  <si>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</si>
  <si>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</si>
  <si>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</si>
  <si>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</si>
  <si>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</si>
  <si>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</si>
  <si>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</si>
  <si>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</si>
  <si>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</si>
  <si>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</si>
  <si>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</si>
  <si>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</si>
  <si>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</si>
  <si>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</si>
  <si>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</si>
  <si>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</si>
  <si>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</si>
  <si>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</si>
  <si>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</si>
  <si>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</si>
  <si>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</si>
  <si>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</si>
  <si>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</si>
  <si>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</si>
  <si>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</si>
  <si>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</si>
  <si>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</si>
  <si>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</si>
  <si>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</si>
  <si>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</si>
  <si>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</si>
  <si>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</si>
  <si>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</si>
  <si>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</si>
  <si>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</si>
  <si>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</si>
  <si>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</si>
  <si>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</si>
  <si>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</si>
  <si>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</si>
  <si>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</si>
  <si>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</si>
  <si>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</si>
  <si>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</si>
  <si>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</si>
  <si>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</si>
  <si>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</si>
  <si>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</si>
  <si>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</si>
  <si>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</si>
  <si>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</si>
  <si>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</si>
  <si>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</si>
  <si>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</si>
  <si>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</si>
  <si>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</si>
  <si>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</si>
  <si>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</si>
  <si>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</si>
  <si>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</si>
  <si>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</si>
  <si>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</si>
  <si>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</si>
  <si>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</si>
  <si>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</si>
  <si>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</si>
  <si>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</si>
  <si>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</si>
  <si>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</si>
  <si>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</si>
  <si>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</si>
  <si>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</si>
  <si>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</si>
  <si>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</si>
  <si>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</si>
  <si>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</si>
  <si>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</si>
  <si>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</si>
  <si>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</si>
  <si>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</si>
  <si>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</si>
  <si>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</si>
  <si>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</si>
  <si>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</si>
  <si>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</si>
  <si>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</si>
  <si>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</si>
  <si>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</si>
  <si>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</si>
  <si>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</si>
  <si>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</si>
  <si>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</si>
  <si>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</si>
  <si>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</si>
  <si>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</si>
  <si>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</si>
  <si>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</si>
  <si>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</si>
  <si>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</si>
  <si>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</si>
  <si>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</si>
  <si>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</si>
  <si>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</si>
  <si>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</si>
  <si>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</si>
  <si>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</si>
  <si>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</si>
  <si>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</si>
  <si>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</si>
  <si>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</si>
  <si>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</si>
  <si>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</si>
  <si>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</si>
  <si>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</si>
  <si>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</si>
  <si>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</si>
  <si>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</si>
  <si>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</si>
  <si>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</si>
  <si>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</si>
  <si>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</si>
  <si>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</si>
  <si>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</si>
  <si>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</si>
  <si>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</si>
  <si>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</si>
  <si>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</si>
  <si>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</si>
  <si>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</si>
  <si>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</si>
  <si>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</si>
  <si>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</si>
  <si>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</si>
  <si>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</si>
  <si>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</si>
  <si>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</si>
  <si>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</si>
  <si>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</si>
  <si>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</si>
  <si>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</si>
  <si>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</si>
  <si>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</si>
  <si>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</si>
  <si>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</si>
  <si>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</si>
  <si>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</si>
  <si>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</si>
  <si>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</si>
  <si>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</si>
  <si>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</si>
  <si>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</si>
  <si>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</si>
  <si>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</si>
  <si>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</si>
  <si>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</si>
  <si>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</si>
  <si>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</si>
  <si>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</si>
  <si>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</si>
  <si>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</si>
  <si>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</si>
  <si>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</si>
  <si>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</si>
  <si>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</si>
  <si>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</si>
  <si>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</si>
  <si>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</si>
  <si>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</si>
  <si>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</si>
  <si>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</si>
  <si>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</si>
  <si>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</si>
  <si>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</si>
  <si>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</si>
  <si>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</si>
  <si>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</si>
  <si>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</si>
  <si>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</si>
  <si>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</si>
  <si>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</si>
  <si>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</si>
  <si>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</si>
  <si>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</si>
  <si>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</si>
  <si>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</si>
  <si>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</si>
  <si>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</si>
  <si>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</si>
  <si>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</si>
  <si>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</si>
  <si>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</si>
  <si>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</si>
  <si>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</si>
  <si>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</si>
  <si>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</si>
  <si>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</si>
  <si>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</si>
  <si>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</si>
  <si>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</si>
  <si>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</si>
  <si>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</si>
  <si>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</si>
  <si>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</si>
  <si>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</si>
  <si>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</si>
  <si>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</si>
  <si>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</si>
  <si>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</si>
  <si>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</si>
  <si>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</si>
  <si>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</si>
  <si>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</si>
  <si>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</si>
  <si>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</si>
  <si>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</si>
  <si>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</si>
  <si>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</si>
  <si>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</si>
  <si>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</si>
  <si>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</si>
  <si>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</si>
  <si>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</si>
  <si>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</si>
  <si>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</si>
  <si>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</si>
  <si>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</si>
  <si>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</si>
  <si>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</si>
  <si>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</si>
  <si>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</si>
  <si>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</si>
  <si>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</si>
  <si>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</si>
  <si>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</si>
  <si>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</si>
  <si>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</si>
  <si>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</si>
  <si>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</si>
  <si>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</si>
  <si>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</si>
  <si>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</si>
  <si>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</si>
  <si>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</si>
  <si>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</si>
  <si>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</si>
  <si>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</si>
  <si>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</si>
  <si>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</si>
  <si>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</si>
  <si>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</si>
  <si>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</si>
  <si>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</si>
  <si>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</si>
  <si>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</si>
  <si>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</si>
  <si>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</si>
  <si>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</si>
  <si>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</si>
  <si>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</si>
  <si>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</si>
  <si>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</si>
  <si>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</si>
  <si>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</si>
  <si>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</si>
  <si>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</si>
  <si>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</si>
  <si>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</si>
  <si>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</si>
  <si>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</si>
  <si>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</si>
  <si>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</si>
  <si>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</si>
  <si>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</si>
  <si>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</si>
  <si>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</si>
  <si>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</si>
  <si>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</si>
  <si>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</si>
  <si>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</si>
  <si>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</si>
  <si>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</si>
  <si>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</si>
  <si>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</si>
  <si>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</si>
  <si>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</si>
  <si>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</si>
  <si>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</si>
  <si>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</si>
  <si>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</si>
  <si>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</si>
  <si>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</si>
  <si>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</si>
  <si>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</si>
  <si>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</si>
  <si>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</si>
  <si>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</si>
  <si>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</si>
  <si>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</si>
  <si>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</si>
  <si>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</si>
  <si>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</si>
  <si>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</si>
  <si>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</si>
  <si>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</si>
  <si>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</si>
  <si>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</si>
  <si>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</si>
  <si>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</si>
  <si>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</si>
  <si>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</si>
  <si>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</si>
  <si>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</si>
  <si>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</si>
  <si>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</si>
  <si>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</si>
  <si>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</si>
  <si>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</si>
  <si>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</si>
  <si>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</si>
  <si>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</si>
  <si>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</si>
  <si>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</si>
  <si>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</si>
  <si>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</si>
  <si>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</si>
  <si>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</si>
  <si>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</si>
  <si>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</si>
  <si>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</si>
  <si>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</si>
  <si>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</si>
  <si>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</si>
  <si>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</si>
  <si>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</si>
  <si>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</si>
  <si>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</si>
  <si>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</si>
  <si>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</si>
  <si>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</si>
  <si>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</si>
  <si>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</si>
  <si>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</si>
  <si>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</si>
  <si>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</si>
  <si>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</si>
  <si>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</si>
  <si>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</si>
  <si>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</si>
  <si>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</si>
  <si>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</si>
  <si>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</si>
  <si>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</si>
  <si>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</si>
  <si>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</si>
  <si>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</si>
  <si>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</si>
  <si>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</si>
  <si>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</si>
  <si>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</si>
  <si>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</si>
  <si>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</si>
  <si>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</si>
  <si>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</si>
  <si>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</si>
  <si>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</si>
  <si>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</si>
  <si>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</si>
  <si>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</si>
  <si>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</si>
  <si>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</si>
  <si>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</si>
  <si>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</si>
  <si>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</si>
  <si>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</si>
  <si>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</si>
  <si>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</si>
  <si>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</si>
  <si>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</si>
  <si>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</si>
  <si>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</si>
  <si>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</si>
  <si>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</si>
  <si>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</si>
  <si>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</si>
  <si>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</si>
  <si>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</si>
  <si>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</si>
  <si>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</si>
  <si>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</si>
  <si>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</si>
  <si>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</si>
  <si>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</si>
  <si>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</si>
  <si>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</si>
  <si>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</si>
  <si>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</si>
  <si>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</si>
  <si>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</si>
  <si>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</si>
  <si>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</si>
  <si>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</si>
  <si>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</si>
  <si>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</si>
  <si>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</si>
  <si>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</si>
  <si>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</si>
  <si>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</si>
  <si>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</si>
  <si>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</si>
  <si>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</si>
  <si>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</si>
  <si>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</si>
  <si>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</si>
  <si>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</si>
  <si>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</si>
  <si>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</si>
  <si>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</si>
  <si>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</si>
  <si>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</si>
  <si>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</si>
  <si>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</si>
  <si>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</si>
  <si>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</si>
  <si>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</si>
  <si>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</si>
  <si>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</si>
  <si>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</si>
  <si>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</si>
  <si>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</si>
  <si>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</si>
  <si>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</si>
  <si>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</si>
  <si>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</si>
  <si>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</si>
  <si>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</si>
  <si>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</si>
  <si>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</si>
  <si>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</si>
  <si>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</si>
  <si>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</si>
  <si>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</si>
  <si>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</si>
  <si>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</si>
  <si>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</si>
  <si>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</si>
  <si>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</si>
  <si>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</si>
  <si>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</si>
  <si>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</si>
  <si>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</si>
  <si>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</si>
  <si>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</si>
  <si>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</si>
  <si>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</si>
  <si>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</si>
  <si>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</si>
  <si>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</si>
  <si>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</si>
  <si>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</si>
  <si>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</si>
  <si>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</si>
  <si>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</si>
  <si>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</si>
  <si>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</si>
  <si>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</si>
  <si>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</si>
  <si>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</si>
  <si>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</si>
  <si>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</si>
  <si>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</si>
  <si>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</si>
  <si>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</si>
  <si>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</si>
  <si>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</si>
  <si>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</si>
  <si>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</si>
  <si>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</si>
  <si>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</si>
  <si>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</si>
  <si>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</si>
  <si>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</si>
  <si>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</si>
  <si>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</si>
  <si>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</si>
  <si>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</si>
  <si>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</si>
  <si>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</si>
  <si>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</si>
  <si>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</si>
  <si>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</si>
  <si>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</si>
  <si>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</si>
  <si>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</si>
  <si>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</si>
  <si>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</si>
  <si>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</si>
  <si>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</si>
  <si>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</si>
  <si>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</si>
  <si>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</si>
  <si>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</si>
  <si>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</si>
  <si>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</si>
  <si>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</si>
  <si>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</si>
  <si>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</si>
  <si>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</si>
  <si>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</si>
  <si>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</si>
  <si>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</si>
  <si>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</si>
  <si>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</si>
  <si>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</si>
  <si>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</si>
  <si>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</si>
  <si>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</si>
  <si>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</si>
  <si>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</si>
  <si>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</si>
  <si>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</si>
  <si>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</si>
  <si>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</si>
  <si>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</si>
  <si>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</si>
  <si>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</si>
  <si>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</si>
  <si>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</si>
  <si>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</si>
  <si>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</si>
  <si>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</si>
  <si>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</si>
  <si>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</si>
  <si>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</si>
  <si>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</si>
  <si>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</si>
  <si>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</si>
  <si>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</si>
  <si>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</si>
  <si>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</si>
  <si>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</si>
  <si>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</si>
  <si>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</si>
  <si>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</si>
  <si>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</si>
  <si>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</si>
  <si>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</si>
  <si>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</si>
  <si>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</si>
  <si>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</si>
  <si>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</si>
  <si>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</si>
  <si>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</si>
  <si>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</si>
  <si>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</si>
  <si>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</si>
  <si>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</si>
  <si>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</si>
  <si>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</si>
  <si>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</si>
  <si>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</si>
  <si>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</si>
  <si>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</si>
  <si>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</si>
  <si>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</si>
  <si>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</si>
  <si>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</si>
  <si>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</si>
  <si>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</si>
  <si>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</si>
  <si>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</si>
  <si>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</si>
  <si>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</si>
  <si>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</si>
  <si>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</si>
  <si>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</si>
  <si>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</si>
  <si>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</si>
  <si>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</si>
  <si>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</si>
  <si>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</si>
  <si>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</si>
  <si>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</si>
  <si>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</si>
  <si>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</si>
  <si>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</si>
  <si>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</si>
  <si>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</si>
  <si>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</si>
  <si>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</si>
  <si>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</si>
  <si>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</si>
  <si>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</si>
  <si>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</si>
  <si>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</si>
  <si>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</si>
  <si>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</si>
  <si>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</si>
  <si>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</si>
  <si>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</si>
  <si>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</si>
  <si>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</si>
  <si>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</si>
  <si>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</si>
  <si>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</si>
  <si>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</si>
  <si>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</si>
  <si>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</si>
  <si>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</si>
  <si>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</si>
  <si>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</si>
  <si>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</si>
  <si>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</si>
  <si>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</si>
  <si>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</si>
  <si>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</si>
  <si>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</si>
  <si>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</si>
  <si>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</si>
  <si>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</si>
  <si>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</si>
  <si>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</si>
  <si>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</si>
  <si>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</si>
  <si>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</si>
  <si>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</si>
  <si>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</si>
  <si>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</si>
  <si>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</si>
  <si>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</si>
  <si>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</si>
  <si>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</si>
  <si>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</si>
  <si>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</si>
  <si>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</si>
  <si>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</si>
  <si>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</si>
  <si>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</si>
  <si>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</si>
  <si>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</si>
  <si>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</si>
  <si>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</si>
  <si>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</si>
  <si>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</si>
  <si>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</si>
  <si>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</si>
  <si>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</si>
  <si>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</si>
  <si>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</si>
  <si>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</si>
  <si>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</si>
  <si>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</si>
  <si>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</si>
  <si>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</si>
  <si>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</si>
  <si>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</si>
  <si>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</si>
  <si>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</si>
  <si>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</si>
  <si>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</si>
  <si>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</si>
  <si>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</si>
  <si>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</si>
  <si>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</si>
  <si>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</si>
  <si>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</si>
  <si>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</si>
  <si>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</si>
  <si>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</si>
  <si>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</si>
  <si>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</si>
  <si>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</si>
  <si>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</si>
  <si>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</si>
  <si>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</si>
  <si>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</si>
  <si>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</si>
  <si>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</si>
  <si>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</si>
  <si>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</si>
  <si>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</si>
  <si>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</si>
  <si>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</si>
  <si>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</si>
  <si>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</si>
  <si>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</si>
  <si>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</si>
  <si>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</si>
  <si>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</si>
  <si>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</si>
  <si>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</si>
  <si>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</si>
  <si>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</si>
  <si>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</si>
  <si>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</si>
  <si>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</si>
  <si>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</si>
  <si>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</si>
  <si>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</si>
  <si>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</si>
  <si>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</si>
  <si>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</si>
  <si>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</si>
  <si>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</si>
  <si>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</si>
  <si>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</si>
  <si>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</si>
  <si>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</si>
  <si>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</si>
  <si>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</si>
  <si>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</si>
  <si>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</si>
  <si>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</si>
  <si>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</si>
  <si>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</si>
  <si>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</si>
  <si>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</si>
  <si>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</si>
  <si>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</si>
  <si>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</si>
  <si>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</si>
  <si>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</si>
  <si>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</si>
  <si>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</si>
  <si>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</si>
  <si>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</si>
  <si>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</si>
  <si>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</si>
  <si>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</si>
  <si>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</si>
  <si>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</si>
  <si>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</si>
  <si>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</si>
  <si>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</si>
  <si>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</si>
  <si>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</si>
  <si>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</si>
  <si>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</si>
  <si>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</si>
  <si>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</si>
  <si>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</si>
  <si>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</si>
  <si>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</si>
  <si>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</si>
  <si>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</si>
  <si>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</si>
  <si>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</si>
  <si>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</si>
  <si>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</si>
  <si>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</si>
  <si>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</si>
  <si>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</si>
  <si>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</si>
  <si>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</si>
  <si>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</si>
  <si>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</si>
  <si>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</si>
  <si>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</si>
  <si>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</si>
  <si>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</si>
  <si>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</si>
  <si>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</si>
  <si>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</si>
  <si>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</si>
  <si>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</si>
  <si>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</si>
  <si>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</si>
  <si>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</si>
  <si>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</si>
  <si>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</si>
  <si>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</si>
  <si>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</si>
  <si>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</si>
  <si>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</si>
  <si>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</si>
  <si>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</si>
  <si>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</si>
  <si>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</si>
  <si>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</si>
  <si>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</si>
  <si>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</si>
  <si>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</si>
  <si>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</si>
  <si>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</si>
  <si>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</si>
  <si>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</si>
  <si>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</si>
  <si>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</si>
  <si>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</si>
  <si>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</si>
  <si>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</si>
  <si>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</si>
  <si>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</si>
  <si>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</si>
  <si>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</si>
  <si>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</si>
  <si>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</si>
  <si>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</si>
  <si>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</si>
  <si>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</si>
  <si>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</si>
  <si>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</si>
  <si>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</si>
  <si>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</si>
  <si>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</si>
  <si>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</si>
  <si>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</si>
  <si>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</si>
  <si>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</si>
  <si>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</si>
  <si>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</si>
  <si>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</si>
  <si>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</si>
  <si>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</si>
  <si>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</si>
  <si>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</si>
  <si>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</si>
  <si>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</si>
  <si>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</si>
  <si>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</si>
  <si>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</si>
  <si>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</si>
  <si>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</si>
  <si>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</si>
  <si>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</si>
  <si>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</si>
  <si>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</si>
  <si>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</si>
  <si>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</si>
  <si>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</si>
  <si>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</si>
  <si>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</si>
  <si>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</si>
  <si>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</si>
  <si>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</si>
  <si>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</si>
  <si>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</si>
  <si>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</si>
  <si>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</si>
  <si>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</si>
  <si>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</si>
  <si>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</si>
  <si>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</si>
  <si>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</si>
  <si>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</si>
  <si>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</si>
  <si>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</si>
  <si>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</si>
  <si>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</si>
  <si>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</si>
  <si>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</si>
  <si>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</si>
  <si>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</si>
  <si>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</si>
  <si>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</si>
  <si>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</si>
  <si>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</si>
  <si>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</si>
  <si>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</si>
  <si>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</si>
  <si>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</si>
  <si>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</si>
  <si>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</si>
  <si>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</si>
  <si>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</si>
  <si>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</si>
  <si>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</si>
  <si>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</si>
  <si>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</si>
  <si>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</si>
  <si>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</si>
  <si>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</si>
  <si>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</si>
  <si>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</si>
  <si>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</si>
  <si>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</si>
  <si>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</si>
  <si>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</si>
  <si>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</si>
  <si>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</si>
  <si>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</si>
  <si>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</si>
  <si>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</si>
  <si>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</si>
  <si>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</si>
  <si>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</si>
  <si>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</si>
  <si>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</si>
  <si>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</si>
  <si>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</si>
  <si>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</si>
  <si>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</si>
  <si>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</si>
  <si>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</si>
  <si>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</si>
  <si>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</si>
  <si>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</si>
  <si>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</si>
  <si>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</si>
  <si>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</si>
  <si>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</si>
  <si>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</si>
  <si>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</si>
  <si>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</si>
  <si>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</si>
  <si>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</si>
  <si>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</si>
  <si>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</si>
  <si>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</si>
  <si>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</si>
  <si>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</si>
  <si>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</si>
  <si>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</si>
  <si>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</si>
  <si>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</si>
  <si>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</si>
  <si>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</si>
  <si>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</si>
  <si>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</si>
  <si>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</si>
  <si>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</si>
  <si>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</si>
  <si>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</si>
  <si>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</si>
  <si>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</si>
  <si>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</si>
  <si>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</si>
  <si>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</si>
  <si>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</si>
  <si>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</si>
  <si>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</si>
  <si>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</si>
  <si>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</si>
  <si>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</si>
  <si>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</si>
  <si>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</si>
  <si>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</si>
  <si>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</si>
  <si>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</si>
  <si>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</si>
  <si>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</si>
  <si>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</si>
  <si>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</si>
  <si>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</si>
  <si>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</si>
  <si>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</si>
  <si>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</si>
  <si>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</si>
  <si>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</si>
  <si>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</si>
  <si>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</si>
  <si>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</si>
  <si>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</si>
  <si>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</si>
  <si>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</si>
  <si>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</si>
  <si>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</si>
  <si>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</si>
  <si>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</si>
  <si>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</si>
  <si>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</si>
  <si>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</si>
  <si>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</si>
  <si>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</si>
  <si>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</si>
  <si>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</si>
  <si>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</si>
  <si>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</si>
  <si>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</si>
  <si>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</si>
  <si>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</si>
  <si>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</si>
  <si>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</si>
  <si>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</si>
  <si>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</si>
  <si>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</si>
  <si>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</si>
  <si>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</si>
  <si>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</si>
  <si>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</si>
  <si>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</si>
  <si>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</si>
  <si>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</si>
  <si>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</si>
  <si>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</si>
  <si>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</si>
  <si>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</si>
  <si>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</si>
  <si>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</si>
  <si>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</si>
  <si>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</si>
  <si>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</si>
  <si>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</si>
  <si>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</si>
  <si>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</si>
  <si>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</si>
  <si>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</si>
  <si>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</si>
  <si>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</si>
  <si>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</si>
  <si>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</si>
  <si>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</si>
  <si>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</si>
  <si>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</si>
  <si>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</si>
  <si>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</si>
  <si>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</si>
  <si>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</si>
  <si>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</si>
  <si>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</si>
  <si>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</si>
  <si>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</si>
  <si>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</si>
  <si>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</si>
  <si>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</si>
  <si>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</si>
  <si>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</si>
  <si>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</si>
  <si>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</si>
  <si>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</si>
  <si>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</si>
  <si>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</si>
  <si>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</si>
  <si>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</si>
  <si>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</si>
  <si>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</si>
  <si>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</si>
  <si>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</si>
  <si>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</si>
  <si>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</si>
  <si>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</si>
  <si>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</si>
  <si>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</si>
  <si>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</si>
  <si>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</si>
  <si>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</si>
  <si>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</si>
  <si>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</si>
  <si>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</si>
  <si>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</si>
  <si>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</si>
  <si>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</si>
  <si>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</si>
  <si>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</si>
  <si>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</si>
  <si>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</si>
  <si>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</si>
  <si>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</si>
  <si>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</si>
  <si>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</si>
  <si>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</si>
  <si>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</si>
  <si>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</si>
  <si>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</si>
  <si>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</si>
  <si>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</si>
  <si>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</si>
  <si>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</si>
  <si>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</si>
  <si>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</si>
  <si>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</si>
  <si>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</si>
  <si>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</si>
  <si>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</si>
  <si>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</si>
  <si>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</si>
  <si>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</si>
  <si>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</si>
  <si>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</si>
  <si>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</si>
  <si>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</si>
  <si>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</si>
  <si>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</si>
  <si>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</si>
  <si>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</si>
  <si>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</si>
  <si>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</si>
  <si>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</si>
  <si>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</si>
  <si>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</si>
  <si>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</si>
  <si>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</si>
  <si>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</si>
  <si>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</si>
  <si>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</si>
  <si>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</si>
  <si>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</si>
  <si>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</si>
  <si>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</si>
  <si>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</si>
  <si>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</si>
  <si>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</si>
  <si>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</si>
  <si>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</si>
  <si>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</si>
  <si>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</si>
  <si>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</si>
  <si>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</si>
  <si>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</si>
  <si>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</si>
  <si>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</si>
  <si>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</si>
  <si>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</si>
  <si>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</si>
  <si>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</si>
  <si>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</si>
  <si>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</si>
  <si>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</si>
  <si>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</si>
  <si>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</si>
  <si>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</si>
  <si>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</si>
  <si>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</si>
  <si>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</si>
  <si>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</si>
  <si>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</si>
  <si>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</si>
  <si>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</si>
  <si>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</si>
  <si>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</si>
  <si>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</si>
  <si>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</si>
  <si>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</si>
  <si>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</si>
  <si>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</si>
  <si>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</si>
  <si>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</si>
  <si>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</si>
  <si>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</si>
  <si>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</si>
  <si>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</si>
  <si>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</si>
  <si>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</si>
  <si>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</si>
  <si>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</si>
  <si>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</si>
  <si>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</si>
  <si>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</si>
  <si>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</si>
  <si>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</si>
  <si>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</si>
  <si>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</si>
  <si>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</si>
  <si>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</si>
  <si>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</si>
  <si>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</si>
  <si>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</si>
  <si>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</si>
  <si>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</si>
  <si>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</si>
  <si>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</si>
  <si>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</si>
  <si>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</si>
  <si>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</si>
  <si>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</si>
  <si>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</si>
  <si>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</si>
  <si>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</si>
  <si>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</si>
  <si>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</si>
  <si>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</si>
  <si>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</si>
  <si>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</si>
  <si>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</si>
  <si>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</si>
  <si>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</si>
  <si>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</si>
  <si>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</si>
  <si>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</si>
  <si>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</si>
  <si>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</si>
  <si>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</si>
  <si>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</si>
  <si>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</si>
  <si>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</si>
  <si>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</si>
  <si>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</si>
  <si>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</si>
  <si>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</si>
  <si>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</si>
  <si>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</si>
  <si>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</si>
  <si>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</si>
  <si>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</si>
  <si>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</si>
  <si>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</si>
  <si>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</si>
  <si>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</si>
  <si>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</si>
  <si>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</si>
  <si>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</si>
  <si>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</si>
  <si>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</si>
  <si>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</si>
  <si>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</si>
  <si>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</si>
  <si>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</si>
  <si>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</si>
  <si>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</si>
  <si>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</si>
  <si>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</si>
  <si>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</si>
  <si>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</si>
  <si>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</si>
  <si>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</si>
  <si>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</si>
  <si>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</si>
  <si>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</si>
  <si>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</si>
  <si>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</si>
  <si>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</si>
  <si>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</si>
  <si>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</si>
  <si>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</si>
  <si>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</si>
  <si>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</si>
  <si>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</si>
  <si>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</si>
  <si>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</si>
  <si>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</si>
  <si>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</si>
  <si>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</si>
  <si>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</si>
  <si>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</si>
  <si>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</si>
  <si>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</si>
  <si>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</si>
  <si>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</si>
  <si>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</si>
  <si>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</si>
  <si>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</si>
  <si>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</si>
  <si>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</si>
  <si>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</si>
  <si>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</si>
  <si>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</si>
  <si>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</si>
  <si>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</si>
  <si>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</si>
  <si>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</si>
  <si>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</si>
  <si>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</si>
  <si>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</si>
  <si>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</si>
  <si>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</si>
  <si>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</si>
  <si>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</si>
  <si>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</si>
  <si>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</si>
  <si>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</si>
  <si>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</si>
  <si>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</si>
  <si>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</si>
  <si>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</si>
  <si>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</si>
  <si>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</si>
  <si>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</si>
  <si>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</si>
  <si>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</si>
  <si>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</si>
  <si>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</si>
  <si>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</si>
  <si>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</si>
  <si>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</si>
  <si>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</si>
  <si>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</si>
  <si>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</si>
  <si>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</si>
  <si>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</si>
  <si>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</si>
  <si>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</si>
  <si>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</si>
  <si>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</si>
  <si>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</si>
  <si>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</si>
  <si>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</si>
  <si>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</si>
  <si>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</si>
  <si>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</si>
  <si>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</si>
  <si>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</si>
  <si>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</si>
  <si>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</si>
  <si>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</si>
  <si>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</si>
  <si>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</si>
  <si>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</si>
  <si>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</si>
  <si>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</si>
  <si>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</si>
  <si>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</si>
  <si>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</si>
  <si>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</si>
  <si>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</si>
  <si>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</si>
  <si>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</si>
  <si>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</si>
  <si>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</si>
  <si>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</si>
  <si>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</si>
  <si>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</si>
  <si>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</si>
  <si>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</si>
  <si>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</si>
  <si>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</si>
  <si>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</si>
  <si>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</si>
  <si>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</si>
  <si>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</si>
  <si>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</si>
  <si>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</si>
  <si>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</si>
  <si>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</si>
  <si>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</si>
  <si>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</si>
  <si>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</si>
  <si>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</si>
  <si>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</si>
  <si>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</si>
  <si>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</si>
  <si>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</si>
  <si>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</si>
  <si>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</si>
  <si>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</si>
  <si>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</si>
  <si>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</si>
  <si>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</si>
  <si>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</si>
  <si>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</si>
  <si>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</si>
  <si>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</si>
  <si>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</si>
  <si>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</si>
  <si>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</si>
  <si>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</si>
  <si>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</si>
  <si>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</si>
  <si>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</si>
  <si>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</si>
  <si>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</si>
  <si>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</si>
  <si>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</si>
  <si>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</si>
  <si>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</si>
  <si>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</si>
  <si>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</si>
  <si>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</si>
  <si>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</si>
  <si>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</si>
  <si>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</si>
  <si>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</si>
  <si>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</si>
  <si>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</si>
  <si>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</si>
  <si>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</si>
  <si>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</si>
  <si>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</si>
  <si>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</si>
  <si>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</si>
  <si>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</si>
  <si>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</si>
  <si>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</si>
  <si>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</si>
  <si>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</si>
  <si>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</si>
  <si>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</si>
  <si>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</si>
  <si>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</si>
  <si>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</si>
  <si>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</si>
  <si>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</si>
  <si>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</si>
  <si>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</si>
  <si>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</si>
  <si>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</si>
  <si>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</si>
  <si>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</si>
  <si>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</si>
  <si>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</si>
  <si>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</si>
  <si>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</si>
  <si>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</si>
  <si>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</si>
  <si>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</si>
  <si>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</si>
  <si>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</si>
  <si>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</si>
  <si>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</si>
  <si>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</si>
  <si>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</si>
  <si>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</si>
  <si>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</si>
  <si>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</si>
  <si>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</si>
  <si>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</si>
  <si>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</si>
  <si>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</si>
  <si>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</si>
  <si>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</si>
  <si>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</si>
  <si>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</si>
  <si>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</si>
  <si>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</si>
  <si>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</si>
  <si>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</si>
  <si>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</si>
  <si>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</si>
  <si>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</si>
  <si>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</si>
  <si>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</si>
  <si>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</si>
  <si>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</si>
  <si>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</si>
  <si>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</si>
  <si>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</si>
  <si>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</si>
  <si>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</si>
  <si>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</si>
  <si>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</si>
  <si>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</si>
  <si>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</si>
  <si>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</si>
  <si>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</si>
  <si>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</si>
  <si>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</si>
  <si>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</si>
  <si>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</si>
  <si>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</si>
  <si>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</si>
  <si>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</si>
  <si>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</si>
  <si>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</si>
  <si>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</si>
  <si>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</si>
  <si>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</si>
  <si>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</si>
  <si>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</si>
  <si>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</si>
  <si>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</si>
  <si>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</si>
  <si>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</si>
  <si>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</si>
  <si>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</si>
  <si>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</si>
  <si>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</si>
  <si>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</si>
  <si>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</si>
  <si>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</si>
  <si>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</si>
  <si>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</si>
  <si>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</si>
  <si>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</si>
  <si>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</si>
  <si>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</si>
  <si>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</si>
  <si>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</si>
  <si>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</si>
  <si>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</si>
  <si>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</si>
  <si>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</si>
  <si>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</si>
  <si>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</si>
  <si>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</si>
  <si>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</si>
  <si>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</si>
  <si>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</si>
  <si>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</si>
  <si>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</si>
  <si>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</si>
  <si>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</si>
  <si>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</si>
  <si>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</si>
  <si>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</si>
  <si>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</si>
  <si>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</si>
  <si>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</si>
  <si>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</si>
  <si>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</si>
  <si>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</si>
  <si>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</si>
  <si>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</si>
  <si>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</si>
  <si>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</si>
  <si>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</si>
  <si>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</si>
  <si>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</si>
  <si>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</si>
  <si>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</si>
  <si>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</si>
  <si>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</si>
  <si>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</si>
  <si>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</si>
  <si>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</si>
  <si>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</si>
  <si>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</si>
  <si>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</si>
  <si>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</si>
  <si>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</si>
  <si>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</si>
  <si>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</si>
  <si>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</si>
  <si>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</si>
  <si>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</si>
  <si>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</si>
  <si>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</si>
  <si>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</si>
  <si>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</si>
  <si>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</si>
  <si>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</si>
  <si>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</si>
  <si>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</si>
  <si>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</si>
  <si>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</si>
  <si>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</si>
  <si>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</si>
  <si>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</si>
  <si>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</si>
  <si>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</si>
  <si>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</si>
  <si>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</si>
  <si>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</si>
  <si>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</si>
  <si>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</si>
  <si>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</si>
  <si>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</si>
  <si>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</si>
  <si>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</si>
  <si>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</si>
  <si>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</si>
  <si>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</si>
  <si>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</si>
  <si>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</si>
  <si>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</si>
  <si>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</si>
  <si>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</si>
  <si>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</si>
  <si>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</si>
  <si>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</si>
  <si>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</si>
  <si>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</si>
  <si>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</si>
  <si>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</si>
  <si>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</si>
  <si>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</si>
  <si>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</si>
  <si>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</si>
  <si>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</si>
  <si>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</si>
  <si>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</si>
  <si>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</si>
  <si>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</si>
  <si>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</si>
  <si>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</si>
  <si>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</si>
  <si>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</si>
  <si>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</si>
  <si>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</si>
  <si>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</si>
  <si>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</si>
  <si>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</si>
  <si>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</si>
  <si>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</si>
  <si>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</si>
  <si>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</si>
  <si>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</si>
  <si>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</si>
  <si>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</si>
  <si>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</si>
  <si>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</si>
  <si>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</si>
  <si>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</si>
  <si>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</si>
  <si>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</si>
  <si>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</si>
  <si>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</si>
  <si>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</si>
  <si>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</si>
  <si>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</si>
  <si>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</si>
  <si>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</si>
  <si>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</si>
  <si>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</si>
  <si>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</si>
  <si>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</si>
  <si>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</si>
  <si>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</si>
  <si>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</si>
  <si>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</si>
  <si>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</si>
  <si>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</si>
  <si>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</si>
  <si>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</si>
  <si>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</si>
  <si>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</si>
  <si>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</si>
  <si>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</si>
  <si>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</si>
  <si>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</si>
  <si>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</si>
  <si>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</si>
  <si>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</si>
  <si>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</si>
  <si>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</si>
  <si>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</si>
  <si>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</si>
  <si>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</si>
  <si>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</si>
  <si>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</si>
  <si>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</si>
  <si>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</si>
  <si>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</si>
  <si>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</si>
  <si>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</si>
  <si>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</si>
  <si>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</si>
  <si>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</si>
  <si>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</si>
  <si>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</si>
  <si>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</si>
  <si>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</si>
  <si>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</si>
  <si>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</si>
  <si>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</si>
  <si>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</si>
  <si>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</si>
  <si>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</si>
  <si>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</si>
  <si>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</si>
  <si>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</si>
  <si>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</si>
  <si>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</si>
  <si>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</si>
  <si>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</si>
  <si>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</si>
  <si>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</si>
  <si>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</si>
  <si>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</si>
  <si>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</si>
  <si>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</si>
  <si>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</si>
  <si>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</si>
  <si>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</si>
  <si>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</si>
  <si>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</si>
  <si>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</si>
  <si>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</si>
  <si>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</si>
  <si>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</si>
  <si>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</si>
  <si>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</si>
  <si>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</si>
  <si>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</si>
  <si>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</si>
  <si>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</si>
  <si>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</si>
  <si>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</si>
  <si>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</si>
  <si>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</si>
  <si>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</si>
  <si>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</si>
  <si>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</si>
  <si>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</si>
  <si>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</si>
  <si>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</si>
  <si>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</si>
  <si>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</si>
  <si>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</si>
  <si>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</si>
  <si>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</si>
  <si>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</si>
  <si>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</si>
  <si>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</si>
  <si>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</si>
  <si>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</si>
  <si>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</si>
  <si>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</si>
  <si>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</si>
  <si>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</si>
  <si>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</si>
  <si>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</si>
  <si>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</si>
  <si>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</si>
  <si>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</si>
  <si>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</si>
  <si>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</si>
  <si>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</si>
  <si>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</si>
  <si>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</si>
  <si>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</si>
  <si>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</si>
  <si>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</si>
  <si>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</si>
  <si>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</si>
  <si>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</si>
  <si>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</si>
  <si>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</si>
  <si>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</si>
  <si>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</si>
  <si>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</si>
  <si>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</si>
  <si>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</si>
  <si>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</si>
  <si>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</si>
  <si>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</si>
  <si>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</si>
  <si>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</si>
  <si>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</si>
  <si>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</si>
  <si>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</si>
  <si>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</si>
  <si>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</si>
  <si>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</si>
  <si>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</si>
  <si>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</si>
  <si>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</si>
  <si>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</si>
  <si>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</si>
  <si>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</si>
  <si>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</si>
  <si>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</si>
  <si>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</si>
  <si>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</si>
  <si>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</si>
  <si>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</si>
  <si>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</si>
  <si>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</si>
  <si>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</si>
  <si>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</si>
  <si>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</si>
  <si>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</si>
  <si>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</si>
  <si>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</si>
  <si>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</si>
  <si>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</si>
  <si>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</si>
  <si>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</si>
  <si>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</si>
  <si>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</si>
  <si>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</si>
  <si>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</si>
  <si>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</si>
  <si>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</si>
  <si>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</si>
  <si>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</si>
  <si>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</si>
  <si>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</si>
  <si>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</si>
  <si>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</si>
  <si>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</si>
  <si>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</si>
  <si>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</si>
  <si>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</si>
  <si>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</si>
  <si>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</si>
  <si>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</si>
  <si>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</si>
  <si>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</si>
  <si>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</si>
  <si>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</si>
  <si>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</si>
  <si>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</si>
  <si>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</si>
  <si>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</si>
  <si>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</si>
  <si>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</si>
  <si>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</si>
  <si>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</si>
  <si>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</si>
  <si>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</si>
  <si>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</si>
  <si>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</si>
  <si>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</si>
  <si>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</si>
  <si>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</si>
  <si>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</si>
  <si>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</si>
  <si>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</si>
  <si>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</si>
  <si>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</si>
  <si>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</si>
  <si>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</si>
  <si>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</si>
  <si>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</si>
  <si>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</si>
  <si>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</si>
  <si>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</si>
  <si>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</si>
  <si>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</si>
  <si>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</si>
  <si>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</si>
  <si>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</si>
  <si>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</si>
  <si>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</si>
  <si>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</si>
  <si>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</si>
  <si>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</si>
  <si>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</si>
  <si>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</si>
  <si>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</si>
  <si>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</si>
  <si>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</si>
  <si>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</si>
  <si>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</si>
  <si>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</si>
  <si>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</si>
  <si>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</si>
  <si>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</si>
  <si>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</si>
  <si>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</si>
  <si>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</si>
  <si>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</si>
  <si>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</si>
  <si>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</si>
  <si>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</si>
  <si>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</si>
  <si>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</si>
  <si>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</si>
  <si>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</si>
  <si>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</si>
  <si>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</si>
  <si>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</si>
  <si>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</si>
  <si>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</si>
  <si>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</si>
  <si>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</si>
  <si>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</si>
  <si>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</si>
  <si>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</si>
  <si>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</si>
  <si>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</si>
  <si>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</si>
  <si>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</si>
  <si>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</si>
  <si>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</si>
  <si>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</si>
  <si>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</si>
  <si>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</si>
  <si>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</si>
  <si>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</si>
  <si>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</si>
  <si>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</si>
  <si>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</si>
  <si>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</si>
  <si>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</si>
  <si>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</si>
  <si>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</si>
  <si>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</si>
  <si>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</si>
  <si>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</si>
  <si>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</si>
  <si>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</si>
  <si>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</si>
  <si>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</si>
  <si>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</si>
  <si>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</si>
  <si>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</si>
  <si>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</si>
  <si>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</si>
  <si>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</si>
  <si>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</si>
  <si>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</si>
  <si>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</si>
  <si>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</si>
  <si>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</si>
  <si>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</si>
  <si>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</si>
  <si>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</si>
  <si>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</si>
  <si>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</si>
  <si>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</si>
  <si>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</si>
  <si>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</si>
  <si>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</si>
  <si>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</si>
  <si>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</si>
  <si>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</si>
  <si>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</si>
  <si>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</si>
  <si>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</si>
  <si>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</si>
  <si>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</si>
  <si>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</si>
  <si>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</si>
  <si>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</si>
  <si>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</si>
  <si>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</si>
  <si>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</si>
  <si>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</si>
  <si>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</si>
  <si>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</si>
  <si>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</si>
  <si>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</si>
  <si>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</si>
  <si>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</si>
  <si>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</si>
  <si>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</si>
  <si>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</si>
  <si>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</si>
  <si>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</si>
  <si>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</si>
  <si>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</si>
  <si>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</si>
  <si>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</si>
  <si>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</si>
  <si>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</si>
  <si>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</si>
  <si>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</si>
  <si>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</si>
  <si>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</si>
  <si>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</si>
  <si>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</si>
  <si>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</si>
  <si>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</si>
  <si>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</si>
  <si>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</si>
  <si>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</si>
  <si>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</si>
  <si>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</si>
  <si>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</si>
  <si>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</si>
  <si>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</si>
  <si>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</si>
  <si>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</si>
  <si>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</si>
  <si>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</si>
  <si>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</si>
  <si>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</si>
  <si>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</si>
  <si>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</si>
  <si>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</si>
  <si>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</si>
  <si>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</si>
  <si>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</si>
  <si>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</si>
  <si>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</si>
  <si>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</si>
  <si>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</si>
  <si>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</si>
  <si>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</si>
  <si>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</si>
  <si>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</si>
  <si>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</si>
  <si>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</si>
  <si>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</si>
  <si>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</si>
  <si>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</si>
  <si>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</si>
  <si>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</si>
  <si>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</si>
  <si>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</si>
  <si>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</si>
  <si>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</si>
  <si>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</si>
  <si>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</si>
  <si>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</si>
  <si>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</si>
  <si>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</si>
  <si>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</si>
  <si>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</si>
  <si>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</si>
  <si>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</si>
  <si>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</si>
  <si>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</si>
  <si>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</si>
  <si>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</si>
  <si>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</si>
  <si>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</si>
  <si>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</si>
  <si>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</si>
  <si>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</si>
  <si>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</si>
  <si>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</si>
  <si>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</si>
  <si>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</si>
  <si>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</si>
  <si>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</si>
  <si>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</si>
  <si>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</si>
  <si>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</si>
  <si>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</si>
  <si>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</si>
  <si>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</si>
  <si>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</si>
  <si>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</si>
  <si>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</si>
  <si>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</si>
  <si>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</si>
  <si>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</si>
  <si>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</si>
  <si>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</si>
  <si>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</si>
  <si>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</si>
  <si>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</si>
  <si>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</si>
  <si>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</si>
  <si>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</si>
  <si>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</si>
  <si>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</si>
  <si>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</si>
  <si>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</si>
  <si>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</si>
  <si>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</si>
  <si>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</si>
  <si>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</si>
  <si>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</si>
  <si>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</si>
  <si>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</si>
  <si>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</si>
  <si>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</si>
  <si>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</si>
  <si>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</si>
  <si>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</si>
  <si>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</si>
  <si>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</si>
  <si>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</si>
  <si>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</si>
  <si>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</si>
  <si>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</si>
  <si>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</si>
  <si>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</si>
  <si>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</si>
  <si>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</si>
  <si>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</si>
  <si>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</si>
  <si>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</si>
  <si>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</si>
  <si>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</si>
  <si>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</si>
  <si>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</si>
  <si>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</si>
  <si>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</si>
  <si>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</si>
  <si>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</si>
  <si>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</si>
  <si>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</si>
  <si>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</si>
  <si>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</si>
  <si>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</si>
  <si>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</si>
  <si>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</si>
  <si>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</si>
  <si>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</si>
  <si>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</si>
  <si>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</si>
  <si>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</si>
  <si>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</si>
  <si>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</si>
  <si>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</si>
  <si>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</si>
  <si>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</si>
  <si>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</si>
  <si>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</si>
  <si>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</si>
  <si>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</si>
  <si>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</si>
  <si>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</si>
  <si>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</si>
  <si>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</si>
  <si>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</si>
  <si>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</si>
  <si>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</si>
  <si>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</si>
  <si>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</si>
  <si>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</si>
  <si>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</si>
  <si>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</si>
  <si>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</si>
  <si>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</si>
  <si>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</si>
  <si>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</si>
  <si>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</si>
  <si>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</si>
  <si>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</si>
  <si>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</si>
  <si>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</si>
  <si>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</si>
  <si>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</si>
  <si>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</si>
  <si>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</si>
  <si>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</si>
  <si>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</si>
  <si>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</si>
  <si>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</si>
  <si>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</si>
  <si>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</si>
  <si>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</si>
  <si>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</si>
  <si>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</si>
  <si>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</si>
  <si>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</si>
  <si>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</si>
  <si>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</si>
  <si>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</si>
  <si>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</si>
  <si>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</si>
  <si>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</si>
  <si>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</si>
  <si>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</si>
  <si>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</si>
  <si>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</si>
  <si>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</si>
  <si>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</si>
  <si>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</si>
  <si>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</si>
  <si>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</si>
  <si>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</si>
  <si>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</si>
  <si>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</si>
  <si>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</si>
  <si>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</si>
  <si>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</si>
  <si>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</si>
  <si>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</si>
  <si>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</si>
  <si>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</si>
  <si>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</si>
  <si>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</si>
  <si>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</si>
  <si>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</si>
  <si>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</si>
  <si>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</si>
  <si>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</si>
  <si>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</si>
  <si>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</si>
  <si>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</si>
  <si>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</si>
  <si>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</si>
  <si>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</si>
  <si>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</si>
  <si>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</si>
  <si>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</si>
  <si>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</si>
  <si>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</si>
  <si>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</si>
  <si>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</si>
  <si>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</si>
  <si>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</si>
  <si>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</si>
  <si>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</si>
  <si>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</si>
  <si>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</si>
  <si>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</si>
  <si>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</si>
  <si>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</si>
  <si>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</si>
  <si>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</si>
  <si>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</si>
  <si>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</si>
  <si>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</si>
  <si>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</si>
  <si>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</si>
  <si>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</si>
  <si>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</si>
  <si>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</si>
  <si>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</si>
  <si>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</si>
  <si>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</si>
  <si>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</si>
  <si>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</si>
  <si>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</si>
  <si>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</si>
  <si>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</si>
  <si>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</si>
  <si>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</si>
  <si>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</si>
  <si>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</si>
  <si>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</si>
  <si>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</si>
  <si>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</si>
  <si>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</si>
  <si>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</si>
  <si>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</si>
  <si>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</si>
  <si>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</si>
  <si>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</si>
  <si>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</si>
  <si>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</si>
  <si>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</si>
  <si>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</si>
  <si>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</si>
  <si>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</si>
  <si>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</si>
  <si>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</si>
  <si>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</si>
  <si>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</si>
  <si>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</si>
  <si>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</si>
  <si>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</si>
  <si>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</si>
  <si>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</si>
  <si>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</si>
  <si>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</si>
  <si>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</si>
  <si>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</si>
  <si>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</si>
  <si>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</si>
  <si>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</si>
  <si>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</si>
  <si>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</si>
  <si>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</si>
  <si>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</si>
  <si>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</si>
  <si>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</si>
  <si>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</si>
  <si>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</si>
  <si>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</si>
  <si>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</si>
  <si>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</si>
  <si>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</si>
  <si>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</si>
  <si>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</si>
  <si>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</si>
  <si>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</si>
  <si>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</si>
  <si>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</si>
  <si>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</si>
  <si>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</si>
  <si>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</si>
  <si>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</si>
  <si>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</si>
  <si>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</si>
  <si>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</si>
  <si>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</si>
  <si>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</si>
  <si>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</si>
  <si>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</si>
  <si>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</si>
  <si>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</si>
  <si>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</si>
  <si>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</si>
  <si>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</si>
  <si>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</si>
  <si>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</si>
  <si>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</si>
  <si>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</si>
  <si>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</si>
  <si>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</si>
  <si>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</si>
  <si>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</si>
  <si>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</si>
  <si>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</si>
  <si>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</si>
  <si>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</si>
  <si>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</si>
  <si>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</si>
  <si>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</si>
  <si>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</si>
  <si>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</si>
  <si>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</si>
  <si>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</si>
  <si>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</si>
  <si>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</si>
  <si>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</si>
  <si>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</si>
  <si>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</si>
  <si>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</si>
  <si>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</si>
  <si>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</si>
  <si>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</si>
  <si>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</si>
  <si>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</si>
  <si>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</si>
  <si>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</si>
  <si>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</si>
  <si>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</si>
  <si>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</si>
  <si>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</si>
  <si>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</si>
  <si>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</si>
  <si>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</si>
  <si>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</si>
  <si>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</si>
  <si>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</si>
  <si>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</si>
  <si>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</si>
  <si>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</si>
  <si>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</si>
  <si>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</si>
  <si>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</si>
  <si>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</si>
  <si>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</si>
  <si>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</si>
  <si>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</si>
  <si>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</si>
  <si>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AVER</t>
  </si>
  <si>
    <t>coun</t>
  </si>
  <si>
    <t>MED</t>
  </si>
  <si>
    <t>sum</t>
  </si>
  <si>
    <t>Column Labels</t>
  </si>
  <si>
    <t>Grand Total</t>
  </si>
  <si>
    <t>Count of Product</t>
  </si>
  <si>
    <t>Sum of TotalPrice</t>
  </si>
  <si>
    <t>Count of PaymentMethod</t>
  </si>
  <si>
    <t>Count of ReferralSource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</si>
</sst>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Protection="1">
      <protection locked="0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2d" refreshedDate="46206.675680324071" createdVersion="8" refreshedVersion="8" minRefreshableVersion="3" recordCount="1200" xr:uid="{1905884E-B0DB-4432-B4AA-3F8D94756FCD}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s v="Shipped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s v="Shipped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s v="Cancelled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s v="Returned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s v="Delivered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s v="Shipped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s v="Returned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s v="Shipped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s v="Cancelled"/>
    <s v="TRK61042692"/>
    <n v="2"/>
    <s v="no coupon"/>
    <x v="2"/>
    <n v="268.56"/>
  </r>
  <r>
    <s v="ORD200009"/>
    <d v="2023-11-21T00:00:00"/>
    <s v="C31946"/>
    <x v="6"/>
    <n v="4"/>
    <n v="509.38"/>
    <s v="102 Main St"/>
    <x v="2"/>
    <s v="Shipped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s v="Returned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s v="Returned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s v="Pending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s v="Returned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s v="Pending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s v="Delivered"/>
    <s v="TRK54930938"/>
    <n v="3"/>
    <s v="no coupon"/>
    <x v="4"/>
    <n v="473.96"/>
  </r>
  <r>
    <s v="ORD200016"/>
    <d v="2023-01-24T00:00:00"/>
    <s v="C28976"/>
    <x v="4"/>
    <n v="2"/>
    <n v="533.80999999999995"/>
    <s v="914 Main St"/>
    <x v="2"/>
    <s v="Pending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s v="Shipped"/>
    <s v="TRK11972116"/>
    <n v="3"/>
    <s v="no coupon"/>
    <x v="1"/>
    <n v="423.4"/>
  </r>
  <r>
    <s v="ORD200018"/>
    <d v="2025-03-26T00:00:00"/>
    <s v="C84329"/>
    <x v="6"/>
    <n v="1"/>
    <n v="431.44"/>
    <s v="891 Main St"/>
    <x v="3"/>
    <s v="Pending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s v="Returned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s v="Pending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s v="Delivered"/>
    <s v="TRK52646983"/>
    <n v="6"/>
    <s v="no coupon"/>
    <x v="4"/>
    <n v="1371.8"/>
  </r>
  <r>
    <s v="ORD200022"/>
    <d v="2023-01-29T00:00:00"/>
    <s v="C34416"/>
    <x v="0"/>
    <n v="2"/>
    <n v="49.62"/>
    <s v="633 Main St"/>
    <x v="1"/>
    <s v="Pending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s v="Cancelled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s v="Delivered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s v="Delivered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s v="Delivered"/>
    <s v="TRK80276812"/>
    <n v="6"/>
    <s v="no coupon"/>
    <x v="1"/>
    <n v="297.75"/>
  </r>
  <r>
    <s v="ORD200027"/>
    <d v="2024-02-22T00:00:00"/>
    <s v="C97593"/>
    <x v="4"/>
    <n v="1"/>
    <n v="472.74"/>
    <s v="881 Main St"/>
    <x v="1"/>
    <s v="Shipped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s v="Pending"/>
    <s v="TRK65895539"/>
    <n v="5"/>
    <s v="no coupon"/>
    <x v="2"/>
    <n v="640.28"/>
  </r>
  <r>
    <s v="ORD200029"/>
    <d v="2024-09-20T00:00:00"/>
    <s v="C33260"/>
    <x v="6"/>
    <n v="3"/>
    <n v="423.53"/>
    <s v="930 Main St"/>
    <x v="2"/>
    <s v="Delivered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s v="Pending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s v="Returned"/>
    <s v="TRK31229981"/>
    <n v="6"/>
    <s v="no coupon"/>
    <x v="3"/>
    <n v="1500.24"/>
  </r>
  <r>
    <s v="ORD200032"/>
    <d v="2023-05-01T00:00:00"/>
    <s v="C12388"/>
    <x v="2"/>
    <n v="5"/>
    <n v="536.72"/>
    <s v="830 Main St"/>
    <x v="4"/>
    <s v="Delivered"/>
    <s v="TRK99261395"/>
    <n v="10"/>
    <s v="no coupon"/>
    <x v="2"/>
    <n v="2683.6"/>
  </r>
  <r>
    <s v="ORD200033"/>
    <d v="2023-06-05T00:00:00"/>
    <s v="C52184"/>
    <x v="3"/>
    <n v="1"/>
    <n v="162.77000000000001"/>
    <s v="912 Main St"/>
    <x v="1"/>
    <s v="Cancelled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s v="Pending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s v="Shipped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s v="Pending"/>
    <s v="TRK50961250"/>
    <n v="5"/>
    <s v="no coupon"/>
    <x v="3"/>
    <n v="1068.8599999999999"/>
  </r>
  <r>
    <s v="ORD200037"/>
    <d v="2024-10-14T00:00:00"/>
    <s v="C10054"/>
    <x v="5"/>
    <n v="2"/>
    <n v="76.739999999999995"/>
    <s v="409 Main St"/>
    <x v="4"/>
    <s v="Returned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s v="Delivered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s v="Delivered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s v="Delivered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s v="Pending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s v="Cancelled"/>
    <s v="TRK40772558"/>
    <n v="6"/>
    <s v="no coupon"/>
    <x v="0"/>
    <n v="303.32"/>
  </r>
  <r>
    <s v="ORD200043"/>
    <d v="2023-12-14T00:00:00"/>
    <s v="C60572"/>
    <x v="3"/>
    <n v="3"/>
    <n v="499.21"/>
    <s v="871 Main St"/>
    <x v="1"/>
    <s v="Cancelled"/>
    <s v="TRK20351666"/>
    <n v="8"/>
    <s v="no coupon"/>
    <x v="0"/>
    <n v="1497.63"/>
  </r>
  <r>
    <s v="ORD200044"/>
    <d v="2025-04-21T00:00:00"/>
    <s v="C73225"/>
    <x v="1"/>
    <n v="2"/>
    <n v="550.17999999999995"/>
    <s v="996 Main St"/>
    <x v="3"/>
    <s v="Returned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s v="Returned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s v="Pending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s v="Returned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s v="Shipped"/>
    <s v="TRK38938858"/>
    <n v="4"/>
    <s v="no coupon"/>
    <x v="4"/>
    <n v="161.54"/>
  </r>
  <r>
    <s v="ORD200049"/>
    <d v="2023-10-07T00:00:00"/>
    <s v="C11985"/>
    <x v="4"/>
    <n v="1"/>
    <n v="30.44"/>
    <s v="633 Main St"/>
    <x v="2"/>
    <s v="Shipped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s v="Cancelled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s v="Returned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s v="Returned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s v="Returned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s v="Pending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s v="Cancelled"/>
    <s v="TRK67434829"/>
    <n v="3"/>
    <s v="no coupon"/>
    <x v="3"/>
    <n v="1033.2"/>
  </r>
  <r>
    <s v="ORD200056"/>
    <d v="2023-05-21T00:00:00"/>
    <s v="C54298"/>
    <x v="2"/>
    <n v="3"/>
    <n v="479.21"/>
    <s v="566 Main St"/>
    <x v="4"/>
    <s v="Cancelled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s v="Returned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s v="Cancelled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s v="Shipped"/>
    <s v="TRK47055028"/>
    <n v="5"/>
    <s v="no coupon"/>
    <x v="3"/>
    <n v="2373.08"/>
  </r>
  <r>
    <s v="ORD200060"/>
    <d v="2024-08-21T00:00:00"/>
    <s v="C39256"/>
    <x v="6"/>
    <n v="1"/>
    <n v="417.1"/>
    <s v="634 Main St"/>
    <x v="0"/>
    <s v="Returned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s v="Delivered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s v="Pending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s v="Shipped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s v="Cancelled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s v="Delivered"/>
    <s v="TRK13743703"/>
    <n v="6"/>
    <s v="no coupon"/>
    <x v="0"/>
    <n v="408.5"/>
  </r>
  <r>
    <s v="ORD200066"/>
    <d v="2024-11-15T00:00:00"/>
    <s v="C18104"/>
    <x v="3"/>
    <n v="5"/>
    <n v="127.18"/>
    <s v="715 Main St"/>
    <x v="4"/>
    <s v="Cancelled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s v="Cancelled"/>
    <s v="TRK55105323"/>
    <n v="8"/>
    <s v="no coupon"/>
    <x v="4"/>
    <n v="48.4"/>
  </r>
  <r>
    <s v="ORD200068"/>
    <d v="2023-12-11T00:00:00"/>
    <s v="C41598"/>
    <x v="3"/>
    <n v="3"/>
    <n v="490.92"/>
    <s v="709 Main St"/>
    <x v="2"/>
    <s v="Pending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s v="Shipped"/>
    <s v="TRK35241775"/>
    <n v="4"/>
    <s v="no coupon"/>
    <x v="1"/>
    <n v="1435.95"/>
  </r>
  <r>
    <s v="ORD200070"/>
    <d v="2023-05-26T00:00:00"/>
    <s v="C25123"/>
    <x v="6"/>
    <n v="1"/>
    <n v="629.21"/>
    <s v="384 Main St"/>
    <x v="3"/>
    <s v="Pending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s v="Pending"/>
    <s v="TRK28252730"/>
    <n v="4"/>
    <s v="no coupon"/>
    <x v="1"/>
    <n v="1303.3499999999999"/>
  </r>
  <r>
    <s v="ORD200072"/>
    <d v="2024-12-22T00:00:00"/>
    <s v="C19451"/>
    <x v="2"/>
    <n v="4"/>
    <n v="589.44000000000005"/>
    <s v="942 Main St"/>
    <x v="3"/>
    <s v="Returned"/>
    <s v="TRK87787793"/>
    <n v="5"/>
    <s v="no coupon"/>
    <x v="3"/>
    <n v="2357.7600000000002"/>
  </r>
  <r>
    <s v="ORD200073"/>
    <d v="2023-05-03T00:00:00"/>
    <s v="C17269"/>
    <x v="0"/>
    <n v="4"/>
    <n v="433.45"/>
    <s v="129 Main St"/>
    <x v="3"/>
    <s v="Cancelled"/>
    <s v="TRK79608389"/>
    <n v="4"/>
    <s v="no coupon"/>
    <x v="3"/>
    <n v="1733.8"/>
  </r>
  <r>
    <s v="ORD200074"/>
    <d v="2023-06-24T00:00:00"/>
    <s v="C25382"/>
    <x v="1"/>
    <n v="5"/>
    <n v="90.87"/>
    <s v="622 Main St"/>
    <x v="4"/>
    <s v="Pending"/>
    <s v="TRK64691287"/>
    <n v="5"/>
    <s v="no coupon"/>
    <x v="0"/>
    <n v="454.35"/>
  </r>
  <r>
    <s v="ORD200075"/>
    <d v="2023-09-26T00:00:00"/>
    <s v="C80651"/>
    <x v="2"/>
    <n v="3"/>
    <n v="398.17"/>
    <s v="917 Main St"/>
    <x v="0"/>
    <s v="Delivered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s v="Cancelled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s v="Returned"/>
    <s v="TRK79810059"/>
    <n v="5"/>
    <s v="no coupon"/>
    <x v="4"/>
    <n v="583.17999999999995"/>
  </r>
  <r>
    <s v="ORD200078"/>
    <d v="2024-08-06T00:00:00"/>
    <s v="C32029"/>
    <x v="4"/>
    <n v="4"/>
    <n v="175.36"/>
    <s v="146 Main St"/>
    <x v="0"/>
    <s v="Delivered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s v="Shipped"/>
    <s v="TRK13036341"/>
    <n v="2"/>
    <s v="no coupon"/>
    <x v="3"/>
    <n v="623.82000000000005"/>
  </r>
  <r>
    <s v="ORD200080"/>
    <d v="2023-06-27T00:00:00"/>
    <s v="C29041"/>
    <x v="1"/>
    <n v="3"/>
    <n v="589.55999999999995"/>
    <s v="591 Main St"/>
    <x v="1"/>
    <s v="Returned"/>
    <s v="TRK28840655"/>
    <n v="6"/>
    <s v="no coupon"/>
    <x v="3"/>
    <n v="1768.68"/>
  </r>
  <r>
    <s v="ORD200081"/>
    <d v="2023-06-08T00:00:00"/>
    <s v="C29314"/>
    <x v="0"/>
    <n v="2"/>
    <n v="394.3"/>
    <s v="496 Main St"/>
    <x v="4"/>
    <s v="Shipped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s v="Shipped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s v="Cancelled"/>
    <s v="TRK75112172"/>
    <n v="6"/>
    <s v="no coupon"/>
    <x v="1"/>
    <n v="2161.64"/>
  </r>
  <r>
    <s v="ORD200084"/>
    <d v="2023-08-28T00:00:00"/>
    <s v="C64160"/>
    <x v="0"/>
    <n v="2"/>
    <n v="165.49"/>
    <s v="967 Main St"/>
    <x v="1"/>
    <s v="Shipped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s v="Delivered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s v="Cancelled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s v="Shipped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s v="Cancelled"/>
    <s v="TRK19831653"/>
    <n v="7"/>
    <s v="no coupon"/>
    <x v="4"/>
    <n v="344.43"/>
  </r>
  <r>
    <s v="ORD200089"/>
    <d v="2025-02-25T00:00:00"/>
    <s v="C17181"/>
    <x v="4"/>
    <n v="5"/>
    <n v="455.33"/>
    <s v="291 Main St"/>
    <x v="2"/>
    <s v="Cancelled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s v="Delivered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s v="Shipped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s v="Shipped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s v="Returned"/>
    <s v="TRK65990229"/>
    <n v="7"/>
    <s v="no coupon"/>
    <x v="1"/>
    <n v="1724.04"/>
  </r>
  <r>
    <s v="ORD200094"/>
    <d v="2023-02-11T00:00:00"/>
    <s v="C79821"/>
    <x v="3"/>
    <n v="1"/>
    <n v="531.17999999999995"/>
    <s v="781 Main St"/>
    <x v="3"/>
    <s v="Returned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s v="Returned"/>
    <s v="TRK60179774"/>
    <n v="7"/>
    <s v="no coupon"/>
    <x v="1"/>
    <n v="470.04"/>
  </r>
  <r>
    <s v="ORD200096"/>
    <d v="2024-06-01T00:00:00"/>
    <s v="C93007"/>
    <x v="1"/>
    <n v="2"/>
    <n v="232.83"/>
    <s v="103 Main St"/>
    <x v="3"/>
    <s v="Delivered"/>
    <s v="TRK85696091"/>
    <n v="7"/>
    <s v="no coupon"/>
    <x v="0"/>
    <n v="465.66"/>
  </r>
  <r>
    <s v="ORD200097"/>
    <d v="2025-01-21T00:00:00"/>
    <s v="C15624"/>
    <x v="2"/>
    <n v="5"/>
    <n v="619.52"/>
    <s v="922 Main St"/>
    <x v="0"/>
    <s v="Pending"/>
    <s v="TRK40621141"/>
    <n v="9"/>
    <s v="no coupon"/>
    <x v="2"/>
    <n v="3097.6"/>
  </r>
  <r>
    <s v="ORD200098"/>
    <d v="2023-01-14T00:00:00"/>
    <s v="C70921"/>
    <x v="4"/>
    <n v="2"/>
    <n v="228.54"/>
    <s v="533 Main St"/>
    <x v="0"/>
    <s v="Pending"/>
    <s v="TRK54983109"/>
    <n v="3"/>
    <s v="no coupon"/>
    <x v="2"/>
    <n v="457.08"/>
  </r>
  <r>
    <s v="ORD200099"/>
    <d v="2025-04-12T00:00:00"/>
    <s v="C30477"/>
    <x v="4"/>
    <n v="1"/>
    <n v="201.58"/>
    <s v="717 Main St"/>
    <x v="0"/>
    <s v="Cancelled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s v="Delivered"/>
    <s v="TRK53783265"/>
    <n v="6"/>
    <s v="no coupon"/>
    <x v="3"/>
    <n v="1994.37"/>
  </r>
  <r>
    <s v="ORD200101"/>
    <d v="2023-11-25T00:00:00"/>
    <s v="C15283"/>
    <x v="4"/>
    <n v="1"/>
    <n v="381.02"/>
    <s v="152 Main St"/>
    <x v="4"/>
    <s v="Shipped"/>
    <s v="TRK19286291"/>
    <n v="6"/>
    <s v="no coupon"/>
    <x v="4"/>
    <n v="381.02"/>
  </r>
  <r>
    <s v="ORD200102"/>
    <d v="2023-03-08T00:00:00"/>
    <s v="C18037"/>
    <x v="5"/>
    <n v="2"/>
    <n v="70.34"/>
    <s v="944 Main St"/>
    <x v="3"/>
    <s v="Cancelled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s v="Cancelled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s v="Delivered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s v="Cancelled"/>
    <s v="TRK68792129"/>
    <n v="7"/>
    <s v="no coupon"/>
    <x v="3"/>
    <n v="556.20000000000005"/>
  </r>
  <r>
    <s v="ORD200106"/>
    <d v="2023-09-08T00:00:00"/>
    <s v="C73514"/>
    <x v="6"/>
    <n v="3"/>
    <n v="465.05"/>
    <s v="126 Main St"/>
    <x v="2"/>
    <s v="Cancelled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s v="Shipped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s v="Delivered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s v="Shipped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s v="Pending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s v="Cancelled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s v="Cancelled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s v="Shipped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s v="Pending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s v="Shipped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s v="Cancelled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s v="Cancelled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s v="Shipped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s v="Shipped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s v="Cancelled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s v="Cancelled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s v="Shipped"/>
    <s v="TRK30422853"/>
    <n v="2"/>
    <s v="no coupon"/>
    <x v="3"/>
    <n v="1066.04"/>
  </r>
  <r>
    <s v="ORD200123"/>
    <d v="2023-07-06T00:00:00"/>
    <s v="C86064"/>
    <x v="6"/>
    <n v="3"/>
    <n v="278.04000000000002"/>
    <s v="727 Main St"/>
    <x v="1"/>
    <s v="Delivered"/>
    <s v="TRK62182901"/>
    <n v="5"/>
    <s v="no coupon"/>
    <x v="0"/>
    <n v="834.12000000000012"/>
  </r>
  <r>
    <s v="ORD200124"/>
    <d v="2024-07-28T00:00:00"/>
    <s v="C97148"/>
    <x v="4"/>
    <n v="4"/>
    <n v="283.79000000000002"/>
    <s v="563 Main St"/>
    <x v="1"/>
    <s v="Pending"/>
    <s v="TRK85321126"/>
    <n v="8"/>
    <s v="no coupon"/>
    <x v="4"/>
    <n v="1135.1600000000001"/>
  </r>
  <r>
    <s v="ORD200125"/>
    <d v="2024-11-06T00:00:00"/>
    <s v="C91099"/>
    <x v="1"/>
    <n v="2"/>
    <n v="512.65"/>
    <s v="758 Main St"/>
    <x v="2"/>
    <s v="Shipped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s v="Shipped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s v="Shipped"/>
    <s v="TRK73929833"/>
    <n v="3"/>
    <s v="no coupon"/>
    <x v="4"/>
    <n v="1407.96"/>
  </r>
  <r>
    <s v="ORD200128"/>
    <d v="2023-02-17T00:00:00"/>
    <s v="C86408"/>
    <x v="2"/>
    <n v="4"/>
    <n v="21.07"/>
    <s v="244 Main St"/>
    <x v="3"/>
    <s v="Delivered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s v="Shipped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s v="Cancelled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s v="Pending"/>
    <s v="TRK51648833"/>
    <n v="5"/>
    <s v="no coupon"/>
    <x v="0"/>
    <n v="84.8"/>
  </r>
  <r>
    <s v="ORD200132"/>
    <d v="2023-03-28T00:00:00"/>
    <s v="C96257"/>
    <x v="2"/>
    <n v="4"/>
    <n v="450.75"/>
    <s v="583 Main St"/>
    <x v="2"/>
    <s v="Shipped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s v="Cancelled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s v="Pending"/>
    <s v="TRK17354894"/>
    <n v="4"/>
    <s v="no coupon"/>
    <x v="2"/>
    <n v="399.4"/>
  </r>
  <r>
    <s v="ORD200135"/>
    <d v="2023-08-04T00:00:00"/>
    <s v="C79909"/>
    <x v="4"/>
    <n v="2"/>
    <n v="68.81"/>
    <s v="642 Main St"/>
    <x v="3"/>
    <s v="Shipped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s v="Cancelled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s v="Delivered"/>
    <s v="TRK12242337"/>
    <n v="5"/>
    <s v="no coupon"/>
    <x v="4"/>
    <n v="501.96"/>
  </r>
  <r>
    <s v="ORD200138"/>
    <d v="2023-12-21T00:00:00"/>
    <s v="C21905"/>
    <x v="2"/>
    <n v="1"/>
    <n v="298.06"/>
    <s v="478 Main St"/>
    <x v="0"/>
    <s v="Pending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s v="Returned"/>
    <s v="TRK33114521"/>
    <n v="1"/>
    <s v="no coupon"/>
    <x v="2"/>
    <n v="583.9"/>
  </r>
  <r>
    <s v="ORD200140"/>
    <d v="2025-05-31T00:00:00"/>
    <s v="C33110"/>
    <x v="3"/>
    <n v="3"/>
    <n v="528.14"/>
    <s v="388 Main St"/>
    <x v="1"/>
    <s v="Delivered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s v="Cancelled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s v="Pending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s v="Shipped"/>
    <s v="TRK34654244"/>
    <n v="5"/>
    <s v="no coupon"/>
    <x v="1"/>
    <n v="1600.28"/>
  </r>
  <r>
    <s v="ORD200144"/>
    <d v="2023-08-04T00:00:00"/>
    <s v="C63365"/>
    <x v="6"/>
    <n v="5"/>
    <n v="219.78"/>
    <s v="895 Main St"/>
    <x v="2"/>
    <s v="Pending"/>
    <s v="TRK80100887"/>
    <n v="8"/>
    <s v="no coupon"/>
    <x v="3"/>
    <n v="1098.9000000000001"/>
  </r>
  <r>
    <s v="ORD200145"/>
    <d v="2024-03-02T00:00:00"/>
    <s v="C85929"/>
    <x v="4"/>
    <n v="3"/>
    <n v="146.91"/>
    <s v="798 Main St"/>
    <x v="2"/>
    <s v="Delivered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s v="Returned"/>
    <s v="TRK68893369"/>
    <n v="4"/>
    <s v="no coupon"/>
    <x v="0"/>
    <n v="822.98"/>
  </r>
  <r>
    <s v="ORD200147"/>
    <d v="2025-05-06T00:00:00"/>
    <s v="C46316"/>
    <x v="5"/>
    <n v="2"/>
    <n v="465.18"/>
    <s v="893 Main St"/>
    <x v="2"/>
    <s v="Cancelled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s v="Cancelled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s v="Delivered"/>
    <s v="TRK47153818"/>
    <n v="3"/>
    <s v="no coupon"/>
    <x v="3"/>
    <n v="217.56"/>
  </r>
  <r>
    <s v="ORD200150"/>
    <d v="2023-12-13T00:00:00"/>
    <s v="C25503"/>
    <x v="1"/>
    <n v="2"/>
    <n v="105.57"/>
    <s v="981 Main St"/>
    <x v="0"/>
    <s v="Returned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s v="Returned"/>
    <s v="TRK91226500"/>
    <n v="7"/>
    <s v="no coupon"/>
    <x v="2"/>
    <n v="2223.8000000000002"/>
  </r>
  <r>
    <s v="ORD200152"/>
    <d v="2025-01-02T00:00:00"/>
    <s v="C77736"/>
    <x v="3"/>
    <n v="2"/>
    <n v="399.04"/>
    <s v="659 Main St"/>
    <x v="4"/>
    <s v="Cancelled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s v="Returned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s v="Pending"/>
    <s v="TRK13955543"/>
    <n v="9"/>
    <s v="no coupon"/>
    <x v="0"/>
    <n v="1632.84"/>
  </r>
  <r>
    <s v="ORD200155"/>
    <d v="2023-02-27T00:00:00"/>
    <s v="C62740"/>
    <x v="1"/>
    <n v="1"/>
    <n v="424.4"/>
    <s v="446 Main St"/>
    <x v="1"/>
    <s v="Shipped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s v="Delivered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s v="Returned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s v="Pending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s v="Cancelled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s v="Pending"/>
    <s v="TRK81738254"/>
    <n v="7"/>
    <s v="no coupon"/>
    <x v="1"/>
    <n v="405.28"/>
  </r>
  <r>
    <s v="ORD200161"/>
    <d v="2024-03-29T00:00:00"/>
    <s v="C35091"/>
    <x v="0"/>
    <n v="1"/>
    <n v="211.14"/>
    <s v="513 Main St"/>
    <x v="2"/>
    <s v="Cancelled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s v="Pending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s v="Cancelled"/>
    <s v="TRK16695001"/>
    <n v="1"/>
    <s v="no coupon"/>
    <x v="1"/>
    <n v="641.39"/>
  </r>
  <r>
    <s v="ORD200164"/>
    <d v="2023-12-28T00:00:00"/>
    <s v="C70566"/>
    <x v="6"/>
    <n v="5"/>
    <n v="536.58000000000004"/>
    <s v="667 Main St"/>
    <x v="3"/>
    <s v="Pending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s v="Returned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s v="Delivered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s v="Returned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s v="Returned"/>
    <s v="TRK78551375"/>
    <n v="6"/>
    <s v="no coupon"/>
    <x v="3"/>
    <n v="594.96"/>
  </r>
  <r>
    <s v="ORD200169"/>
    <d v="2024-04-07T00:00:00"/>
    <s v="C35785"/>
    <x v="4"/>
    <n v="1"/>
    <n v="427.82"/>
    <s v="732 Main St"/>
    <x v="1"/>
    <s v="Delivered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s v="Cancelled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s v="Delivered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s v="Delivered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s v="Delivered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s v="Delivered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s v="Pending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s v="Pending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s v="Pending"/>
    <s v="TRK13003066"/>
    <n v="10"/>
    <s v="no coupon"/>
    <x v="3"/>
    <n v="2158.4499999999998"/>
  </r>
  <r>
    <s v="ORD200178"/>
    <d v="2024-04-11T00:00:00"/>
    <s v="C53070"/>
    <x v="3"/>
    <n v="4"/>
    <n v="512.05999999999995"/>
    <s v="283 Main St"/>
    <x v="1"/>
    <s v="Delivered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s v="Delivered"/>
    <s v="TRK14332053"/>
    <n v="8"/>
    <s v="no coupon"/>
    <x v="2"/>
    <n v="1619.73"/>
  </r>
  <r>
    <s v="ORD200180"/>
    <d v="2023-03-18T00:00:00"/>
    <s v="C87216"/>
    <x v="2"/>
    <n v="5"/>
    <n v="316.07"/>
    <s v="970 Main St"/>
    <x v="4"/>
    <s v="Returned"/>
    <s v="TRK18713727"/>
    <n v="10"/>
    <s v="no coupon"/>
    <x v="4"/>
    <n v="1580.35"/>
  </r>
  <r>
    <s v="ORD200181"/>
    <d v="2024-08-31T00:00:00"/>
    <s v="C38966"/>
    <x v="4"/>
    <n v="5"/>
    <n v="404.39"/>
    <s v="247 Main St"/>
    <x v="1"/>
    <s v="Shipped"/>
    <s v="TRK17205146"/>
    <n v="10"/>
    <s v="no coupon"/>
    <x v="1"/>
    <n v="2021.95"/>
  </r>
  <r>
    <s v="ORD200182"/>
    <d v="2025-03-19T00:00:00"/>
    <s v="C16612"/>
    <x v="6"/>
    <n v="1"/>
    <n v="600.54"/>
    <s v="596 Main St"/>
    <x v="0"/>
    <s v="Pending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s v="Delivered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s v="Cancelled"/>
    <s v="TRK39255469"/>
    <n v="7"/>
    <s v="no coupon"/>
    <x v="1"/>
    <n v="858.16"/>
  </r>
  <r>
    <s v="ORD200185"/>
    <d v="2025-02-02T00:00:00"/>
    <s v="C46877"/>
    <x v="5"/>
    <n v="1"/>
    <n v="210.7"/>
    <s v="572 Main St"/>
    <x v="1"/>
    <s v="Shipped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s v="Pending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s v="Returned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s v="Shipped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s v="Cancelled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s v="Returned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s v="Cancelled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s v="Cancelled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s v="Cancelled"/>
    <s v="TRK81320339"/>
    <n v="6"/>
    <s v="no coupon"/>
    <x v="4"/>
    <n v="46.66"/>
  </r>
  <r>
    <s v="ORD200194"/>
    <d v="2024-06-08T00:00:00"/>
    <s v="C53501"/>
    <x v="0"/>
    <n v="1"/>
    <n v="249.57"/>
    <s v="899 Main St"/>
    <x v="4"/>
    <s v="Shipped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s v="Cancelled"/>
    <s v="TRK65385674"/>
    <n v="6"/>
    <s v="no coupon"/>
    <x v="2"/>
    <n v="1857.63"/>
  </r>
  <r>
    <s v="ORD200196"/>
    <d v="2025-01-24T00:00:00"/>
    <s v="C40882"/>
    <x v="6"/>
    <n v="4"/>
    <n v="217.13"/>
    <s v="719 Main St"/>
    <x v="4"/>
    <s v="Delivered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s v="Returned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s v="Cancelled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s v="Returned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s v="Delivered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s v="Shipped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s v="Cancelled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s v="Shipped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s v="Cancelled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s v="Returned"/>
    <s v="TRK58357269"/>
    <n v="3"/>
    <s v="no coupon"/>
    <x v="2"/>
    <n v="442.17"/>
  </r>
  <r>
    <s v="ORD200206"/>
    <d v="2024-04-16T00:00:00"/>
    <s v="C31072"/>
    <x v="5"/>
    <n v="4"/>
    <n v="229.1"/>
    <s v="729 Main St"/>
    <x v="3"/>
    <s v="Returned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s v="Delivered"/>
    <s v="TRK44416659"/>
    <n v="3"/>
    <s v="no coupon"/>
    <x v="4"/>
    <n v="121.96"/>
  </r>
  <r>
    <s v="ORD200208"/>
    <d v="2024-10-08T00:00:00"/>
    <s v="C87777"/>
    <x v="6"/>
    <n v="2"/>
    <n v="408.32"/>
    <s v="597 Main St"/>
    <x v="1"/>
    <s v="Shipped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s v="Returned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s v="Delivered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s v="Pending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s v="Cancelled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s v="Cancelled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s v="Delivered"/>
    <s v="TRK89423603"/>
    <n v="5"/>
    <s v="no coupon"/>
    <x v="3"/>
    <n v="1222.8800000000001"/>
  </r>
  <r>
    <s v="ORD200215"/>
    <d v="2023-08-10T00:00:00"/>
    <s v="C26767"/>
    <x v="4"/>
    <n v="1"/>
    <n v="303.60000000000002"/>
    <s v="432 Main St"/>
    <x v="4"/>
    <s v="Shipped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s v="Cancelled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s v="Returned"/>
    <s v="TRK65596914"/>
    <n v="9"/>
    <s v="no coupon"/>
    <x v="4"/>
    <n v="1286.04"/>
  </r>
  <r>
    <s v="ORD200218"/>
    <d v="2023-04-28T00:00:00"/>
    <s v="C11665"/>
    <x v="2"/>
    <n v="3"/>
    <n v="112.46"/>
    <s v="882 Main St"/>
    <x v="3"/>
    <s v="Shipped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s v="Delivered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s v="Pending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s v="Pending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s v="Shipped"/>
    <s v="TRK17293348"/>
    <n v="8"/>
    <s v="no coupon"/>
    <x v="0"/>
    <n v="2773.44"/>
  </r>
  <r>
    <s v="ORD200223"/>
    <d v="2024-09-11T00:00:00"/>
    <s v="C22783"/>
    <x v="1"/>
    <n v="4"/>
    <n v="692.91"/>
    <s v="673 Main St"/>
    <x v="2"/>
    <s v="Pending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s v="Cancelled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s v="Returned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s v="Delivered"/>
    <s v="TRK93063929"/>
    <n v="8"/>
    <s v="no coupon"/>
    <x v="0"/>
    <n v="1764.15"/>
  </r>
  <r>
    <s v="ORD200227"/>
    <d v="2023-11-02T00:00:00"/>
    <s v="C93220"/>
    <x v="0"/>
    <n v="2"/>
    <n v="365.17"/>
    <s v="353 Main St"/>
    <x v="1"/>
    <s v="Cancelled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s v="Cancelled"/>
    <s v="TRK92055007"/>
    <n v="8"/>
    <s v="no coupon"/>
    <x v="0"/>
    <n v="1543.68"/>
  </r>
  <r>
    <s v="ORD200229"/>
    <d v="2025-03-28T00:00:00"/>
    <s v="C62622"/>
    <x v="2"/>
    <n v="1"/>
    <n v="562.61"/>
    <s v="762 Main St"/>
    <x v="2"/>
    <s v="Delivered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s v="Delivered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s v="Pending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s v="Cancelled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s v="Cancelled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s v="Pending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s v="Pending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s v="Pending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s v="Shipped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s v="Pending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s v="Shipped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s v="Pending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s v="Pending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s v="Pending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s v="Cancelled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s v="Cancelled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s v="Returned"/>
    <s v="TRK25390491"/>
    <n v="1"/>
    <s v="no coupon"/>
    <x v="3"/>
    <n v="223.3"/>
  </r>
  <r>
    <s v="ORD200246"/>
    <d v="2024-08-30T00:00:00"/>
    <s v="C55354"/>
    <x v="6"/>
    <n v="2"/>
    <n v="342.11"/>
    <s v="164 Main St"/>
    <x v="3"/>
    <s v="Shipped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s v="Shipped"/>
    <s v="TRK84984764"/>
    <n v="4"/>
    <s v="no coupon"/>
    <x v="2"/>
    <n v="441.8"/>
  </r>
  <r>
    <s v="ORD200248"/>
    <d v="2023-07-02T00:00:00"/>
    <s v="C97187"/>
    <x v="5"/>
    <n v="1"/>
    <n v="670.54"/>
    <s v="471 Main St"/>
    <x v="4"/>
    <s v="Shipped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s v="Pending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s v="Returned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s v="Cancelled"/>
    <s v="TRK32995144"/>
    <n v="9"/>
    <s v="no coupon"/>
    <x v="2"/>
    <n v="58.76"/>
  </r>
  <r>
    <s v="ORD200252"/>
    <d v="2024-09-20T00:00:00"/>
    <s v="C19648"/>
    <x v="1"/>
    <n v="4"/>
    <n v="668.36"/>
    <s v="821 Main St"/>
    <x v="3"/>
    <s v="Cancelled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s v="Returned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s v="Delivered"/>
    <s v="TRK34809583"/>
    <n v="5"/>
    <s v="no coupon"/>
    <x v="0"/>
    <n v="789.56999999999994"/>
  </r>
  <r>
    <s v="ORD200255"/>
    <d v="2024-05-13T00:00:00"/>
    <s v="C47283"/>
    <x v="0"/>
    <n v="1"/>
    <n v="263.95999999999998"/>
    <s v="806 Main St"/>
    <x v="3"/>
    <s v="Returned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s v="Returned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s v="Cancelled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s v="Shipped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s v="Delivered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s v="Shipped"/>
    <s v="TRK22000463"/>
    <n v="3"/>
    <s v="no coupon"/>
    <x v="4"/>
    <n v="815.58"/>
  </r>
  <r>
    <s v="ORD200261"/>
    <d v="2025-05-28T00:00:00"/>
    <s v="C68976"/>
    <x v="1"/>
    <n v="5"/>
    <n v="173.65"/>
    <s v="460 Main St"/>
    <x v="3"/>
    <s v="Delivered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s v="Returned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s v="Pending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s v="Returned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s v="Cancelled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s v="Cancelled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s v="Delivered"/>
    <s v="TRK62361867"/>
    <n v="9"/>
    <s v="no coupon"/>
    <x v="3"/>
    <n v="2342.5500000000002"/>
  </r>
  <r>
    <s v="ORD200268"/>
    <d v="2023-08-11T00:00:00"/>
    <s v="C37032"/>
    <x v="1"/>
    <n v="2"/>
    <n v="423.88"/>
    <s v="655 Main St"/>
    <x v="0"/>
    <s v="Delivered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s v="Pending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s v="Shipped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s v="Shipped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s v="Pending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s v="Cancelled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s v="Cancelled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s v="Cancelled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s v="Returned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s v="Delivered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s v="Delivered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s v="Pending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s v="Delivered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s v="Pending"/>
    <s v="TRK60093390"/>
    <n v="9"/>
    <s v="no coupon"/>
    <x v="1"/>
    <n v="2619.16"/>
  </r>
  <r>
    <s v="ORD200282"/>
    <d v="2025-04-22T00:00:00"/>
    <s v="C30411"/>
    <x v="4"/>
    <n v="4"/>
    <n v="637.79"/>
    <s v="375 Main St"/>
    <x v="3"/>
    <s v="Cancelled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s v="Shipped"/>
    <s v="TRK69745608"/>
    <n v="6"/>
    <s v="no coupon"/>
    <x v="4"/>
    <n v="2161.3200000000002"/>
  </r>
  <r>
    <s v="ORD200284"/>
    <d v="2023-02-16T00:00:00"/>
    <s v="C27203"/>
    <x v="5"/>
    <n v="5"/>
    <n v="208.17"/>
    <s v="516 Main St"/>
    <x v="2"/>
    <s v="Returned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s v="Delivered"/>
    <s v="TRK93281700"/>
    <n v="3"/>
    <s v="no coupon"/>
    <x v="4"/>
    <n v="338.31"/>
  </r>
  <r>
    <s v="ORD200286"/>
    <d v="2025-04-07T00:00:00"/>
    <s v="C70554"/>
    <x v="0"/>
    <n v="3"/>
    <n v="139.44999999999999"/>
    <s v="187 Main St"/>
    <x v="3"/>
    <s v="Returned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s v="Shipped"/>
    <s v="TRK26628830"/>
    <n v="5"/>
    <s v="no coupon"/>
    <x v="3"/>
    <n v="2620.7199999999998"/>
  </r>
  <r>
    <s v="ORD200288"/>
    <d v="2023-03-12T00:00:00"/>
    <s v="C97643"/>
    <x v="5"/>
    <n v="4"/>
    <n v="512.75"/>
    <s v="537 Main St"/>
    <x v="0"/>
    <s v="Returned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s v="Shipped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s v="Delivered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s v="Delivered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s v="Delivered"/>
    <s v="TRK31042152"/>
    <n v="5"/>
    <s v="no coupon"/>
    <x v="3"/>
    <n v="65.95"/>
  </r>
  <r>
    <s v="ORD200293"/>
    <d v="2023-02-16T00:00:00"/>
    <s v="C33220"/>
    <x v="2"/>
    <n v="4"/>
    <n v="463.04"/>
    <s v="564 Main St"/>
    <x v="3"/>
    <s v="Returned"/>
    <s v="TRK40450219"/>
    <n v="9"/>
    <s v="no coupon"/>
    <x v="0"/>
    <n v="1852.16"/>
  </r>
  <r>
    <s v="ORD200294"/>
    <d v="2025-04-01T00:00:00"/>
    <s v="C65414"/>
    <x v="1"/>
    <n v="2"/>
    <n v="297.70999999999998"/>
    <s v="208 Main St"/>
    <x v="1"/>
    <s v="Shipped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s v="Cancelled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s v="Cancelled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s v="Returned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s v="Cancelled"/>
    <s v="TRK97825212"/>
    <n v="6"/>
    <s v="no coupon"/>
    <x v="2"/>
    <n v="1204.68"/>
  </r>
  <r>
    <s v="ORD200299"/>
    <d v="2024-01-20T00:00:00"/>
    <s v="C30711"/>
    <x v="0"/>
    <n v="1"/>
    <n v="278.66000000000003"/>
    <s v="856 Main St"/>
    <x v="3"/>
    <s v="Cancelled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s v="Returned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s v="Cancelled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s v="Pending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s v="Returned"/>
    <s v="TRK95462192"/>
    <n v="1"/>
    <s v="no coupon"/>
    <x v="4"/>
    <n v="30.54"/>
  </r>
  <r>
    <s v="ORD200304"/>
    <d v="2024-10-18T00:00:00"/>
    <s v="C86762"/>
    <x v="0"/>
    <n v="5"/>
    <n v="408.73"/>
    <s v="326 Main St"/>
    <x v="3"/>
    <s v="Delivered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s v="Pending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s v="Returned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s v="Delivered"/>
    <s v="TRK11755610"/>
    <n v="4"/>
    <s v="no coupon"/>
    <x v="2"/>
    <n v="1672.23"/>
  </r>
  <r>
    <s v="ORD200308"/>
    <d v="2023-12-11T00:00:00"/>
    <s v="C75888"/>
    <x v="4"/>
    <n v="3"/>
    <n v="448.9"/>
    <s v="790 Main St"/>
    <x v="0"/>
    <s v="Returned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s v="Delivered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s v="Shipped"/>
    <s v="TRK16094218"/>
    <n v="4"/>
    <s v="no coupon"/>
    <x v="1"/>
    <n v="397.43999999999988"/>
  </r>
  <r>
    <s v="ORD200311"/>
    <d v="2025-05-17T00:00:00"/>
    <s v="C71698"/>
    <x v="6"/>
    <n v="5"/>
    <n v="489.37"/>
    <s v="274 Main St"/>
    <x v="1"/>
    <s v="Returned"/>
    <s v="TRK34786818"/>
    <n v="8"/>
    <s v="no coupon"/>
    <x v="0"/>
    <n v="2446.85"/>
  </r>
  <r>
    <s v="ORD200312"/>
    <d v="2025-05-24T00:00:00"/>
    <s v="C35397"/>
    <x v="4"/>
    <n v="5"/>
    <n v="66.31"/>
    <s v="579 Main St"/>
    <x v="3"/>
    <s v="Pending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s v="Delivered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s v="Delivered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s v="Cancelled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s v="Shipped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s v="Returned"/>
    <s v="TRK22575151"/>
    <n v="5"/>
    <s v="no coupon"/>
    <x v="0"/>
    <n v="279.89999999999998"/>
  </r>
  <r>
    <s v="ORD200318"/>
    <d v="2024-07-27T00:00:00"/>
    <s v="C93375"/>
    <x v="3"/>
    <n v="3"/>
    <n v="148.72"/>
    <s v="317 Main St"/>
    <x v="0"/>
    <s v="Cancelled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s v="Returned"/>
    <s v="TRK48974907"/>
    <n v="6"/>
    <s v="no coupon"/>
    <x v="0"/>
    <n v="1126.1199999999999"/>
  </r>
  <r>
    <s v="ORD200320"/>
    <d v="2024-12-19T00:00:00"/>
    <s v="C55590"/>
    <x v="4"/>
    <n v="1"/>
    <n v="625.51"/>
    <s v="772 Main St"/>
    <x v="2"/>
    <s v="Shipped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s v="Cancelled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s v="Delivered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s v="Returned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s v="Returned"/>
    <s v="TRK70193221"/>
    <n v="5"/>
    <s v="no coupon"/>
    <x v="1"/>
    <n v="212.79"/>
  </r>
  <r>
    <s v="ORD200325"/>
    <d v="2023-06-29T00:00:00"/>
    <s v="C53545"/>
    <x v="6"/>
    <n v="3"/>
    <n v="361.39"/>
    <s v="665 Main St"/>
    <x v="2"/>
    <s v="Shipped"/>
    <s v="TRK61123177"/>
    <n v="8"/>
    <s v="no coupon"/>
    <x v="1"/>
    <n v="1084.17"/>
  </r>
  <r>
    <s v="ORD200326"/>
    <d v="2024-07-01T00:00:00"/>
    <s v="C65986"/>
    <x v="5"/>
    <n v="5"/>
    <n v="670.48"/>
    <s v="273 Main St"/>
    <x v="3"/>
    <s v="Returned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s v="Cancelled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s v="Cancelled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s v="Shipped"/>
    <s v="TRK63224811"/>
    <n v="6"/>
    <s v="no coupon"/>
    <x v="4"/>
    <n v="1132.6400000000001"/>
  </r>
  <r>
    <s v="ORD200330"/>
    <d v="2024-06-02T00:00:00"/>
    <s v="C38068"/>
    <x v="6"/>
    <n v="5"/>
    <n v="260.52999999999997"/>
    <s v="532 Main St"/>
    <x v="3"/>
    <s v="Pending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s v="Delivered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s v="Pending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s v="Returned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s v="Delivered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s v="Shipped"/>
    <s v="TRK34801199"/>
    <n v="4"/>
    <s v="no coupon"/>
    <x v="2"/>
    <n v="617.58000000000004"/>
  </r>
  <r>
    <s v="ORD200336"/>
    <d v="2023-12-29T00:00:00"/>
    <s v="C88174"/>
    <x v="5"/>
    <n v="1"/>
    <n v="18.2"/>
    <s v="441 Main St"/>
    <x v="0"/>
    <s v="Pending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s v="Returned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s v="Shipped"/>
    <s v="TRK64112352"/>
    <n v="10"/>
    <s v="no coupon"/>
    <x v="1"/>
    <n v="1527.45"/>
  </r>
  <r>
    <s v="ORD200339"/>
    <d v="2024-04-10T00:00:00"/>
    <s v="C84563"/>
    <x v="4"/>
    <n v="2"/>
    <n v="236.33"/>
    <s v="398 Main St"/>
    <x v="1"/>
    <s v="Pending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s v="Cancelled"/>
    <s v="TRK25569378"/>
    <n v="8"/>
    <s v="no coupon"/>
    <x v="2"/>
    <n v="2606.25"/>
  </r>
  <r>
    <s v="ORD200341"/>
    <d v="2024-09-23T00:00:00"/>
    <s v="C94671"/>
    <x v="2"/>
    <n v="1"/>
    <n v="167.15"/>
    <s v="293 Main St"/>
    <x v="3"/>
    <s v="Shipped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s v="Returned"/>
    <s v="TRK95935805"/>
    <n v="5"/>
    <s v="no coupon"/>
    <x v="1"/>
    <n v="2332.1"/>
  </r>
  <r>
    <s v="ORD200343"/>
    <d v="2023-02-26T00:00:00"/>
    <s v="C64638"/>
    <x v="4"/>
    <n v="1"/>
    <n v="527.57000000000005"/>
    <s v="919 Main St"/>
    <x v="0"/>
    <s v="Pending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s v="Cancelled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s v="Shipped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s v="Pending"/>
    <s v="TRK44680433"/>
    <n v="6"/>
    <s v="no coupon"/>
    <x v="1"/>
    <n v="655.09"/>
  </r>
  <r>
    <s v="ORD200347"/>
    <d v="2024-02-03T00:00:00"/>
    <s v="C83556"/>
    <x v="4"/>
    <n v="4"/>
    <n v="264.79000000000002"/>
    <s v="380 Main St"/>
    <x v="2"/>
    <s v="Pending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s v="Returned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s v="Delivered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s v="Shipped"/>
    <s v="TRK60127216"/>
    <n v="6"/>
    <s v="no coupon"/>
    <x v="0"/>
    <n v="108.82"/>
  </r>
  <r>
    <s v="ORD200351"/>
    <d v="2025-02-15T00:00:00"/>
    <s v="C94248"/>
    <x v="5"/>
    <n v="1"/>
    <n v="64.66"/>
    <s v="494 Main St"/>
    <x v="0"/>
    <s v="Delivered"/>
    <s v="TRK89406816"/>
    <n v="4"/>
    <s v="no coupon"/>
    <x v="0"/>
    <n v="64.66"/>
  </r>
  <r>
    <s v="ORD200352"/>
    <d v="2023-08-31T00:00:00"/>
    <s v="C26637"/>
    <x v="3"/>
    <n v="5"/>
    <n v="173.96"/>
    <s v="995 Main St"/>
    <x v="0"/>
    <s v="Pending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s v="Delivered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s v="Shipped"/>
    <s v="TRK11970357"/>
    <n v="4"/>
    <s v="no coupon"/>
    <x v="0"/>
    <n v="693.41"/>
  </r>
  <r>
    <s v="ORD200355"/>
    <d v="2025-06-03T00:00:00"/>
    <s v="C18353"/>
    <x v="2"/>
    <n v="3"/>
    <n v="433.33"/>
    <s v="677 Main St"/>
    <x v="2"/>
    <s v="Cancelled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s v="Cancelled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s v="Delivered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s v="Cancelled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s v="Delivered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s v="Pending"/>
    <s v="TRK34630612"/>
    <n v="8"/>
    <s v="no coupon"/>
    <x v="0"/>
    <n v="2358.2800000000002"/>
  </r>
  <r>
    <s v="ORD200361"/>
    <d v="2024-06-29T00:00:00"/>
    <s v="C53464"/>
    <x v="4"/>
    <n v="5"/>
    <n v="659.85"/>
    <s v="197 Main St"/>
    <x v="2"/>
    <s v="Delivered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s v="Cancelled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s v="Pending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s v="Cancelled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s v="Cancelled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s v="Pending"/>
    <s v="TRK40630538"/>
    <n v="8"/>
    <s v="no coupon"/>
    <x v="1"/>
    <n v="1806.72"/>
  </r>
  <r>
    <s v="ORD200367"/>
    <d v="2024-04-25T00:00:00"/>
    <s v="C13108"/>
    <x v="5"/>
    <n v="5"/>
    <n v="658.77"/>
    <s v="712 Main St"/>
    <x v="3"/>
    <s v="Pending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s v="Cancelled"/>
    <s v="TRK89728869"/>
    <n v="6"/>
    <s v="no coupon"/>
    <x v="4"/>
    <n v="813.06"/>
  </r>
  <r>
    <s v="ORD200369"/>
    <d v="2024-12-22T00:00:00"/>
    <s v="C43545"/>
    <x v="0"/>
    <n v="5"/>
    <n v="375.25"/>
    <s v="216 Main St"/>
    <x v="3"/>
    <s v="Pending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s v="Cancelled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s v="Pending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s v="Returned"/>
    <s v="TRK12123939"/>
    <n v="4"/>
    <s v="no coupon"/>
    <x v="1"/>
    <n v="1450.59"/>
  </r>
  <r>
    <s v="ORD200373"/>
    <d v="2023-01-02T00:00:00"/>
    <s v="C60178"/>
    <x v="5"/>
    <n v="3"/>
    <n v="341.15"/>
    <s v="969 Main St"/>
    <x v="4"/>
    <s v="Pending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s v="Pending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s v="Shipped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s v="Pending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s v="Pending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s v="Pending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s v="Shipped"/>
    <s v="TRK85756094"/>
    <n v="6"/>
    <s v="no coupon"/>
    <x v="4"/>
    <n v="893.01"/>
  </r>
  <r>
    <s v="ORD200380"/>
    <d v="2024-04-20T00:00:00"/>
    <s v="C35355"/>
    <x v="4"/>
    <n v="4"/>
    <n v="331.9"/>
    <s v="127 Main St"/>
    <x v="4"/>
    <s v="Pending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s v="Returned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s v="Shipped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s v="Pending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s v="Returned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s v="Delivered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s v="Returned"/>
    <s v="TRK32588504"/>
    <n v="4"/>
    <s v="no coupon"/>
    <x v="2"/>
    <n v="93.02"/>
  </r>
  <r>
    <s v="ORD200387"/>
    <d v="2024-06-27T00:00:00"/>
    <s v="C25316"/>
    <x v="4"/>
    <n v="2"/>
    <n v="39.53"/>
    <s v="904 Main St"/>
    <x v="2"/>
    <s v="Shipped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s v="Pending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s v="Shipped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s v="Delivered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s v="Cancelled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s v="Delivered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s v="Returned"/>
    <s v="TRK24632134"/>
    <n v="3"/>
    <s v="no coupon"/>
    <x v="4"/>
    <n v="75.010000000000005"/>
  </r>
  <r>
    <s v="ORD200394"/>
    <d v="2023-07-05T00:00:00"/>
    <s v="C70148"/>
    <x v="6"/>
    <n v="5"/>
    <n v="529.54999999999995"/>
    <s v="359 Main St"/>
    <x v="3"/>
    <s v="Shipped"/>
    <s v="TRK34848650"/>
    <n v="10"/>
    <s v="no coupon"/>
    <x v="3"/>
    <n v="2647.75"/>
  </r>
  <r>
    <s v="ORD200395"/>
    <d v="2025-04-25T00:00:00"/>
    <s v="C30010"/>
    <x v="1"/>
    <n v="3"/>
    <n v="127.41"/>
    <s v="830 Main St"/>
    <x v="3"/>
    <s v="Delivered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s v="Shipped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s v="Cancelled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s v="Shipped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s v="Returned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s v="Returned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s v="Returned"/>
    <s v="TRK14225465"/>
    <n v="6"/>
    <s v="no coupon"/>
    <x v="1"/>
    <n v="538.67999999999995"/>
  </r>
  <r>
    <s v="ORD200402"/>
    <d v="2023-04-09T00:00:00"/>
    <s v="C83026"/>
    <x v="4"/>
    <n v="5"/>
    <n v="337.38"/>
    <s v="858 Main St"/>
    <x v="3"/>
    <s v="Shipped"/>
    <s v="TRK79746259"/>
    <n v="5"/>
    <s v="no coupon"/>
    <x v="1"/>
    <n v="1686.9"/>
  </r>
  <r>
    <s v="ORD200403"/>
    <d v="2024-11-10T00:00:00"/>
    <s v="C28893"/>
    <x v="2"/>
    <n v="1"/>
    <n v="620.21"/>
    <s v="740 Main St"/>
    <x v="1"/>
    <s v="Returned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s v="Delivered"/>
    <s v="TRK54571699"/>
    <n v="6"/>
    <s v="no coupon"/>
    <x v="0"/>
    <n v="198.2"/>
  </r>
  <r>
    <s v="ORD200405"/>
    <d v="2025-01-26T00:00:00"/>
    <s v="C97774"/>
    <x v="0"/>
    <n v="4"/>
    <n v="451.97"/>
    <s v="603 Main St"/>
    <x v="1"/>
    <s v="Cancelled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s v="Returned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s v="Returned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s v="Pending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s v="Delivered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s v="Shipped"/>
    <s v="TRK52470162"/>
    <n v="5"/>
    <s v="no coupon"/>
    <x v="2"/>
    <n v="1036.46"/>
  </r>
  <r>
    <s v="ORD200411"/>
    <d v="2024-06-19T00:00:00"/>
    <s v="C66567"/>
    <x v="6"/>
    <n v="2"/>
    <n v="39.51"/>
    <s v="981 Main St"/>
    <x v="1"/>
    <s v="Shipped"/>
    <s v="TRK21174822"/>
    <n v="5"/>
    <s v="no coupon"/>
    <x v="3"/>
    <n v="79.02"/>
  </r>
  <r>
    <s v="ORD200412"/>
    <d v="2025-04-11T00:00:00"/>
    <s v="C42451"/>
    <x v="2"/>
    <n v="5"/>
    <n v="133.01"/>
    <s v="246 Main St"/>
    <x v="2"/>
    <s v="Returned"/>
    <s v="TRK31313343"/>
    <n v="10"/>
    <s v="no coupon"/>
    <x v="3"/>
    <n v="665.05"/>
  </r>
  <r>
    <s v="ORD200413"/>
    <d v="2023-10-08T00:00:00"/>
    <s v="C13923"/>
    <x v="2"/>
    <n v="1"/>
    <n v="118.8"/>
    <s v="123 Main St"/>
    <x v="1"/>
    <s v="Delivered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s v="Delivered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s v="Shipped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s v="Cancelled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s v="Cancelled"/>
    <s v="TRK51429869"/>
    <n v="5"/>
    <s v="no coupon"/>
    <x v="4"/>
    <n v="277.05"/>
  </r>
  <r>
    <s v="ORD200418"/>
    <d v="2023-01-11T00:00:00"/>
    <s v="C74169"/>
    <x v="4"/>
    <n v="1"/>
    <n v="310.93"/>
    <s v="862 Main St"/>
    <x v="1"/>
    <s v="Cancelled"/>
    <s v="TRK66144809"/>
    <n v="3"/>
    <s v="no coupon"/>
    <x v="3"/>
    <n v="310.93"/>
  </r>
  <r>
    <s v="ORD200419"/>
    <d v="2024-04-17T00:00:00"/>
    <s v="C70999"/>
    <x v="2"/>
    <n v="2"/>
    <n v="216.66"/>
    <s v="885 Main St"/>
    <x v="0"/>
    <s v="Pending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s v="Shipped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s v="Cancelled"/>
    <s v="TRK53032122"/>
    <n v="5"/>
    <s v="no coupon"/>
    <x v="2"/>
    <n v="576.41999999999996"/>
  </r>
  <r>
    <s v="ORD200422"/>
    <d v="2023-06-05T00:00:00"/>
    <s v="C76140"/>
    <x v="1"/>
    <n v="4"/>
    <n v="206.6"/>
    <s v="914 Main St"/>
    <x v="3"/>
    <s v="Returned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s v="Cancelled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s v="Pending"/>
    <s v="TRK64012257"/>
    <n v="10"/>
    <s v="no coupon"/>
    <x v="2"/>
    <n v="114.7"/>
  </r>
  <r>
    <s v="ORD200425"/>
    <d v="2023-03-09T00:00:00"/>
    <s v="C40648"/>
    <x v="5"/>
    <n v="2"/>
    <n v="301.88"/>
    <s v="488 Main St"/>
    <x v="3"/>
    <s v="Returned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s v="Cancelled"/>
    <s v="TRK24839296"/>
    <n v="10"/>
    <s v="no coupon"/>
    <x v="3"/>
    <n v="287.25"/>
  </r>
  <r>
    <s v="ORD200427"/>
    <d v="2024-12-18T00:00:00"/>
    <s v="C25406"/>
    <x v="6"/>
    <n v="1"/>
    <n v="161.24"/>
    <s v="379 Main St"/>
    <x v="2"/>
    <s v="Pending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s v="Cancelled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s v="Pending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s v="Shipped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s v="Cancelled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s v="Returned"/>
    <s v="TRK77163738"/>
    <n v="6"/>
    <s v="no coupon"/>
    <x v="1"/>
    <n v="848.64"/>
  </r>
  <r>
    <s v="ORD200433"/>
    <d v="2023-08-26T00:00:00"/>
    <s v="C36613"/>
    <x v="0"/>
    <n v="3"/>
    <n v="631.64"/>
    <s v="785 Main St"/>
    <x v="2"/>
    <s v="Returned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s v="Returned"/>
    <s v="TRK85939879"/>
    <n v="6"/>
    <s v="no coupon"/>
    <x v="3"/>
    <n v="1638.4"/>
  </r>
  <r>
    <s v="ORD200435"/>
    <d v="2023-05-27T00:00:00"/>
    <s v="C48601"/>
    <x v="4"/>
    <n v="1"/>
    <n v="414.47"/>
    <s v="101 Main St"/>
    <x v="0"/>
    <s v="Returned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s v="Pending"/>
    <s v="TRK73545796"/>
    <n v="5"/>
    <s v="no coupon"/>
    <x v="4"/>
    <n v="885.32"/>
  </r>
  <r>
    <s v="ORD200437"/>
    <d v="2024-04-18T00:00:00"/>
    <s v="C63378"/>
    <x v="1"/>
    <n v="1"/>
    <n v="512.39"/>
    <s v="955 Main St"/>
    <x v="1"/>
    <s v="Delivered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s v="Pending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s v="Shipped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s v="Pending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s v="Returned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s v="Pending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s v="Returned"/>
    <s v="TRK58970302"/>
    <n v="6"/>
    <s v="no coupon"/>
    <x v="3"/>
    <n v="139.28"/>
  </r>
  <r>
    <s v="ORD200444"/>
    <d v="2024-06-08T00:00:00"/>
    <s v="C79508"/>
    <x v="4"/>
    <n v="1"/>
    <n v="135.16999999999999"/>
    <s v="585 Main St"/>
    <x v="1"/>
    <s v="Shipped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s v="Delivered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s v="Delivered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s v="Returned"/>
    <s v="TRK45355655"/>
    <n v="2"/>
    <s v="no coupon"/>
    <x v="3"/>
    <n v="833.62"/>
  </r>
  <r>
    <s v="ORD200448"/>
    <d v="2023-09-04T00:00:00"/>
    <s v="C16776"/>
    <x v="5"/>
    <n v="2"/>
    <n v="160"/>
    <s v="854 Main St"/>
    <x v="4"/>
    <s v="Pending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s v="Pending"/>
    <s v="TRK48688724"/>
    <n v="3"/>
    <s v="no coupon"/>
    <x v="0"/>
    <n v="759.15000000000009"/>
  </r>
  <r>
    <s v="ORD200450"/>
    <d v="2024-01-15T00:00:00"/>
    <s v="C36408"/>
    <x v="0"/>
    <n v="5"/>
    <n v="615.1"/>
    <s v="160 Main St"/>
    <x v="3"/>
    <s v="Returned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s v="Cancelled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s v="Pending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s v="Shipped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s v="Cancelled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s v="Pending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s v="Shipped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s v="Returned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s v="Returned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s v="Returned"/>
    <s v="TRK39717191"/>
    <n v="2"/>
    <s v="no coupon"/>
    <x v="0"/>
    <n v="334.39"/>
  </r>
  <r>
    <s v="ORD200460"/>
    <d v="2024-10-06T00:00:00"/>
    <s v="C83548"/>
    <x v="5"/>
    <n v="1"/>
    <n v="144.25"/>
    <s v="474 Main St"/>
    <x v="4"/>
    <s v="Returned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s v="Shipped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s v="Cancelled"/>
    <s v="TRK32796086"/>
    <n v="1"/>
    <s v="no coupon"/>
    <x v="1"/>
    <n v="252.68"/>
  </r>
  <r>
    <s v="ORD200463"/>
    <d v="2023-05-26T00:00:00"/>
    <s v="C25276"/>
    <x v="5"/>
    <n v="5"/>
    <n v="662.78"/>
    <s v="214 Main St"/>
    <x v="0"/>
    <s v="Shipped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s v="Cancelled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s v="Cancelled"/>
    <s v="TRK65438300"/>
    <n v="8"/>
    <s v="no coupon"/>
    <x v="4"/>
    <n v="2567.4499999999998"/>
  </r>
  <r>
    <s v="ORD200466"/>
    <d v="2023-07-18T00:00:00"/>
    <s v="C37412"/>
    <x v="1"/>
    <n v="1"/>
    <n v="432.47"/>
    <s v="895 Main St"/>
    <x v="4"/>
    <s v="Delivered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s v="Cancelled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s v="Delivered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s v="Cancelled"/>
    <s v="TRK17254691"/>
    <n v="5"/>
    <s v="no coupon"/>
    <x v="3"/>
    <n v="3384.9"/>
  </r>
  <r>
    <s v="ORD200470"/>
    <d v="2023-09-29T00:00:00"/>
    <s v="C25149"/>
    <x v="2"/>
    <n v="4"/>
    <n v="263.62"/>
    <s v="672 Main St"/>
    <x v="4"/>
    <s v="Shipped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s v="Cancelled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s v="Cancelled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s v="Shipped"/>
    <s v="TRK71597160"/>
    <n v="4"/>
    <s v="no coupon"/>
    <x v="3"/>
    <n v="29.86"/>
  </r>
  <r>
    <s v="ORD200474"/>
    <d v="2023-11-15T00:00:00"/>
    <s v="C72293"/>
    <x v="4"/>
    <n v="3"/>
    <n v="229.34"/>
    <s v="398 Main St"/>
    <x v="2"/>
    <s v="Shipped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s v="Cancelled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s v="Returned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s v="Shipped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s v="Shipped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s v="Pending"/>
    <s v="TRK21429162"/>
    <n v="8"/>
    <s v="no coupon"/>
    <x v="4"/>
    <n v="101.16"/>
  </r>
  <r>
    <s v="ORD200480"/>
    <d v="2023-06-16T00:00:00"/>
    <s v="C21147"/>
    <x v="3"/>
    <n v="1"/>
    <n v="335.1"/>
    <s v="126 Main St"/>
    <x v="0"/>
    <s v="Pending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s v="Delivered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s v="Pending"/>
    <s v="TRK22302049"/>
    <n v="6"/>
    <s v="no coupon"/>
    <x v="0"/>
    <n v="1144.23"/>
  </r>
  <r>
    <s v="ORD200483"/>
    <d v="2023-01-18T00:00:00"/>
    <s v="C66462"/>
    <x v="1"/>
    <n v="5"/>
    <n v="347.92"/>
    <s v="982 Main St"/>
    <x v="4"/>
    <s v="Pending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s v="Cancelled"/>
    <s v="TRK90455340"/>
    <n v="6"/>
    <s v="no coupon"/>
    <x v="3"/>
    <n v="60.04"/>
  </r>
  <r>
    <s v="ORD200485"/>
    <d v="2023-08-01T00:00:00"/>
    <s v="C46651"/>
    <x v="3"/>
    <n v="3"/>
    <n v="404.79"/>
    <s v="764 Main St"/>
    <x v="4"/>
    <s v="Shipped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s v="Shipped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s v="Pending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s v="Cancelled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s v="Cancelled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s v="Cancelled"/>
    <s v="TRK62785150"/>
    <n v="10"/>
    <s v="no coupon"/>
    <x v="3"/>
    <n v="2339.0500000000002"/>
  </r>
  <r>
    <s v="ORD200491"/>
    <d v="2023-01-05T00:00:00"/>
    <s v="C98168"/>
    <x v="1"/>
    <n v="5"/>
    <n v="420.7"/>
    <s v="481 Main St"/>
    <x v="4"/>
    <s v="Pending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s v="Shipped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s v="Pending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s v="Pending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s v="Pending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s v="Cancelled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s v="Shipped"/>
    <s v="TRK77358113"/>
    <n v="6"/>
    <s v="no coupon"/>
    <x v="4"/>
    <n v="336.87"/>
  </r>
  <r>
    <s v="ORD200498"/>
    <d v="2023-07-12T00:00:00"/>
    <s v="C73961"/>
    <x v="2"/>
    <n v="4"/>
    <n v="132.56"/>
    <s v="306 Main St"/>
    <x v="4"/>
    <s v="Returned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s v="Shipped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s v="Returned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s v="Pending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s v="Returned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s v="Pending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s v="Cancelled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s v="Shipped"/>
    <s v="TRK97246526"/>
    <n v="7"/>
    <s v="no coupon"/>
    <x v="2"/>
    <n v="869.94"/>
  </r>
  <r>
    <s v="ORD200506"/>
    <d v="2023-07-25T00:00:00"/>
    <s v="C23279"/>
    <x v="0"/>
    <n v="2"/>
    <n v="43.67"/>
    <s v="696 Main St"/>
    <x v="4"/>
    <s v="Returned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s v="Pending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s v="Delivered"/>
    <s v="TRK24120267"/>
    <n v="1"/>
    <s v="no coupon"/>
    <x v="1"/>
    <n v="558.27"/>
  </r>
  <r>
    <s v="ORD200509"/>
    <d v="2023-02-15T00:00:00"/>
    <s v="C68937"/>
    <x v="5"/>
    <n v="2"/>
    <n v="425.03"/>
    <s v="560 Main St"/>
    <x v="4"/>
    <s v="Returned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s v="Delivered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s v="Delivered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s v="Pending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s v="Shipped"/>
    <s v="TRK37053575"/>
    <n v="8"/>
    <s v="no coupon"/>
    <x v="1"/>
    <n v="284.64"/>
  </r>
  <r>
    <s v="ORD200514"/>
    <d v="2023-04-16T00:00:00"/>
    <s v="C15629"/>
    <x v="4"/>
    <n v="3"/>
    <n v="304.14999999999998"/>
    <s v="492 Main St"/>
    <x v="3"/>
    <s v="Shipped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s v="Shipped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s v="Returned"/>
    <s v="TRK28855040"/>
    <n v="8"/>
    <s v="no coupon"/>
    <x v="3"/>
    <n v="500.97"/>
  </r>
  <r>
    <s v="ORD200517"/>
    <d v="2024-04-09T00:00:00"/>
    <s v="C55205"/>
    <x v="2"/>
    <n v="4"/>
    <n v="198.35"/>
    <s v="943 Main St"/>
    <x v="4"/>
    <s v="Cancelled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s v="Pending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s v="Returned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s v="Returned"/>
    <s v="TRK27063398"/>
    <n v="5"/>
    <s v="no coupon"/>
    <x v="1"/>
    <n v="1907.94"/>
  </r>
  <r>
    <s v="ORD200521"/>
    <d v="2024-02-25T00:00:00"/>
    <s v="C82318"/>
    <x v="1"/>
    <n v="1"/>
    <n v="528.05999999999995"/>
    <s v="991 Main St"/>
    <x v="2"/>
    <s v="Shipped"/>
    <s v="TRK37534165"/>
    <n v="2"/>
    <s v="no coupon"/>
    <x v="3"/>
    <n v="528.05999999999995"/>
  </r>
  <r>
    <s v="ORD200522"/>
    <d v="2024-04-20T00:00:00"/>
    <s v="C66254"/>
    <x v="3"/>
    <n v="1"/>
    <n v="515.32000000000005"/>
    <s v="740 Main St"/>
    <x v="3"/>
    <s v="Cancelled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s v="Returned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s v="Returned"/>
    <s v="TRK92617366"/>
    <n v="4"/>
    <s v="no coupon"/>
    <x v="1"/>
    <n v="153"/>
  </r>
  <r>
    <s v="ORD200525"/>
    <d v="2023-12-03T00:00:00"/>
    <s v="C54499"/>
    <x v="0"/>
    <n v="1"/>
    <n v="668.48"/>
    <s v="160 Main St"/>
    <x v="0"/>
    <s v="Shipped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s v="Returned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s v="Cancelled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s v="Returned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s v="Pending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s v="Pending"/>
    <s v="TRK14809530"/>
    <n v="9"/>
    <s v="no coupon"/>
    <x v="4"/>
    <n v="357.64"/>
  </r>
  <r>
    <s v="ORD200531"/>
    <d v="2024-07-02T00:00:00"/>
    <s v="C64502"/>
    <x v="6"/>
    <n v="5"/>
    <n v="320.01"/>
    <s v="722 Main St"/>
    <x v="3"/>
    <s v="Delivered"/>
    <s v="TRK14914388"/>
    <n v="6"/>
    <s v="no coupon"/>
    <x v="1"/>
    <n v="1600.05"/>
  </r>
  <r>
    <s v="ORD200532"/>
    <d v="2025-05-03T00:00:00"/>
    <s v="C47365"/>
    <x v="5"/>
    <n v="2"/>
    <n v="41"/>
    <s v="369 Main St"/>
    <x v="1"/>
    <s v="Delivered"/>
    <s v="TRK42207882"/>
    <n v="7"/>
    <s v="no coupon"/>
    <x v="2"/>
    <n v="82"/>
  </r>
  <r>
    <s v="ORD200533"/>
    <d v="2023-03-05T00:00:00"/>
    <s v="C66349"/>
    <x v="6"/>
    <n v="1"/>
    <n v="565.85"/>
    <s v="715 Main St"/>
    <x v="3"/>
    <s v="Returned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s v="Cancelled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s v="Cancelled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s v="Returned"/>
    <s v="TRK52508861"/>
    <n v="6"/>
    <s v="no coupon"/>
    <x v="2"/>
    <n v="616.1"/>
  </r>
  <r>
    <s v="ORD200537"/>
    <d v="2025-03-23T00:00:00"/>
    <s v="C68553"/>
    <x v="2"/>
    <n v="3"/>
    <n v="247.47"/>
    <s v="385 Main St"/>
    <x v="1"/>
    <s v="Delivered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s v="Shipped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s v="Delivered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s v="Pending"/>
    <s v="TRK81765057"/>
    <n v="7"/>
    <s v="no coupon"/>
    <x v="1"/>
    <n v="3243.25"/>
  </r>
  <r>
    <s v="ORD200541"/>
    <d v="2023-08-07T00:00:00"/>
    <s v="C69009"/>
    <x v="4"/>
    <n v="5"/>
    <n v="456.06"/>
    <s v="879 Main St"/>
    <x v="4"/>
    <s v="Pending"/>
    <s v="TRK61295842"/>
    <n v="10"/>
    <s v="no coupon"/>
    <x v="0"/>
    <n v="2280.3000000000002"/>
  </r>
  <r>
    <s v="ORD200542"/>
    <d v="2023-11-14T00:00:00"/>
    <s v="C49726"/>
    <x v="2"/>
    <n v="1"/>
    <n v="17.98"/>
    <s v="934 Main St"/>
    <x v="4"/>
    <s v="Cancelled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s v="Shipped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s v="Returned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s v="Returned"/>
    <s v="TRK74091695"/>
    <n v="3"/>
    <s v="no coupon"/>
    <x v="0"/>
    <n v="196.94"/>
  </r>
  <r>
    <s v="ORD200546"/>
    <d v="2024-03-01T00:00:00"/>
    <s v="C82399"/>
    <x v="0"/>
    <n v="1"/>
    <n v="158.68"/>
    <s v="928 Main St"/>
    <x v="2"/>
    <s v="Returned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s v="Delivered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s v="Delivered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s v="Cancelled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s v="Shipped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s v="Delivered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s v="Returned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s v="Cancelled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s v="Returned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s v="Shipped"/>
    <s v="TRK89306964"/>
    <n v="2"/>
    <s v="no coupon"/>
    <x v="3"/>
    <n v="92.04"/>
  </r>
  <r>
    <s v="ORD200556"/>
    <d v="2023-01-28T00:00:00"/>
    <s v="C30923"/>
    <x v="5"/>
    <n v="1"/>
    <n v="654.27"/>
    <s v="932 Main St"/>
    <x v="3"/>
    <s v="Pending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s v="Pending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s v="Delivered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s v="Cancelled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s v="Pending"/>
    <s v="TRK93168008"/>
    <n v="7"/>
    <s v="no coupon"/>
    <x v="2"/>
    <n v="2355.4"/>
  </r>
  <r>
    <s v="ORD200561"/>
    <d v="2023-01-31T00:00:00"/>
    <s v="C96822"/>
    <x v="4"/>
    <n v="2"/>
    <n v="494.78"/>
    <s v="198 Main St"/>
    <x v="1"/>
    <s v="Shipped"/>
    <s v="TRK89180077"/>
    <n v="2"/>
    <s v="no coupon"/>
    <x v="4"/>
    <n v="989.56"/>
  </r>
  <r>
    <s v="ORD200562"/>
    <d v="2023-10-06T00:00:00"/>
    <s v="C76675"/>
    <x v="5"/>
    <n v="3"/>
    <n v="663.93"/>
    <s v="922 Main St"/>
    <x v="3"/>
    <s v="Returned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s v="Returned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s v="Cancelled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s v="Pending"/>
    <s v="TRK42605492"/>
    <n v="10"/>
    <s v="no coupon"/>
    <x v="3"/>
    <n v="1539.9"/>
  </r>
  <r>
    <s v="ORD200566"/>
    <d v="2024-04-18T00:00:00"/>
    <s v="C83223"/>
    <x v="1"/>
    <n v="4"/>
    <n v="162.71"/>
    <s v="167 Main St"/>
    <x v="4"/>
    <s v="Cancelled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s v="Shipped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s v="Delivered"/>
    <s v="TRK72334047"/>
    <n v="4"/>
    <s v="no coupon"/>
    <x v="4"/>
    <n v="687.98"/>
  </r>
  <r>
    <s v="ORD200569"/>
    <d v="2025-03-22T00:00:00"/>
    <s v="C25783"/>
    <x v="6"/>
    <n v="5"/>
    <n v="250.68"/>
    <s v="672 Main St"/>
    <x v="4"/>
    <s v="Shipped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s v="Pending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s v="Returned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s v="Returned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s v="Cancelled"/>
    <s v="TRK30686578"/>
    <n v="7"/>
    <s v="no coupon"/>
    <x v="0"/>
    <n v="2107.1"/>
  </r>
  <r>
    <s v="ORD200574"/>
    <d v="2024-01-24T00:00:00"/>
    <s v="C29685"/>
    <x v="3"/>
    <n v="5"/>
    <n v="384.69"/>
    <s v="275 Main St"/>
    <x v="2"/>
    <s v="Pending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s v="Returned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s v="Pending"/>
    <s v="TRK42517811"/>
    <n v="8"/>
    <s v="no coupon"/>
    <x v="3"/>
    <n v="395.4"/>
  </r>
  <r>
    <s v="ORD200577"/>
    <d v="2023-01-22T00:00:00"/>
    <s v="C77046"/>
    <x v="2"/>
    <n v="4"/>
    <n v="185.41"/>
    <s v="967 Main St"/>
    <x v="1"/>
    <s v="Returned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s v="Delivered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s v="Shipped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s v="Delivered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s v="Delivered"/>
    <s v="TRK87158684"/>
    <n v="1"/>
    <s v="no coupon"/>
    <x v="1"/>
    <n v="627.34"/>
  </r>
  <r>
    <s v="ORD200582"/>
    <d v="2024-02-19T00:00:00"/>
    <s v="C15228"/>
    <x v="2"/>
    <n v="3"/>
    <n v="474.14"/>
    <s v="558 Main St"/>
    <x v="3"/>
    <s v="Shipped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s v="Delivered"/>
    <s v="TRK29750379"/>
    <n v="4"/>
    <s v="no coupon"/>
    <x v="0"/>
    <n v="463.11"/>
  </r>
  <r>
    <s v="ORD200584"/>
    <d v="2025-03-21T00:00:00"/>
    <s v="C15257"/>
    <x v="3"/>
    <n v="4"/>
    <n v="145.05000000000001"/>
    <s v="626 Main St"/>
    <x v="1"/>
    <s v="Delivered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s v="Returned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s v="Returned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s v="Delivered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s v="Delivered"/>
    <s v="TRK47613918"/>
    <n v="9"/>
    <s v="no coupon"/>
    <x v="4"/>
    <n v="2311.2800000000002"/>
  </r>
  <r>
    <s v="ORD200589"/>
    <d v="2025-02-10T00:00:00"/>
    <s v="C84041"/>
    <x v="5"/>
    <n v="2"/>
    <n v="500.8"/>
    <s v="900 Main St"/>
    <x v="4"/>
    <s v="Delivered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s v="Returned"/>
    <s v="TRK27356242"/>
    <n v="4"/>
    <s v="no coupon"/>
    <x v="2"/>
    <n v="922.26"/>
  </r>
  <r>
    <s v="ORD200591"/>
    <d v="2024-11-18T00:00:00"/>
    <s v="C18187"/>
    <x v="5"/>
    <n v="1"/>
    <n v="605.28"/>
    <s v="470 Main St"/>
    <x v="3"/>
    <s v="Shipped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s v="Returned"/>
    <s v="TRK15499648"/>
    <n v="4"/>
    <s v="no coupon"/>
    <x v="4"/>
    <n v="612.81000000000006"/>
  </r>
  <r>
    <s v="ORD200593"/>
    <d v="2023-08-02T00:00:00"/>
    <s v="C51024"/>
    <x v="0"/>
    <n v="1"/>
    <n v="489.8"/>
    <s v="636 Main St"/>
    <x v="3"/>
    <s v="Shipped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s v="Cancelled"/>
    <s v="TRK12671989"/>
    <n v="7"/>
    <s v="no coupon"/>
    <x v="2"/>
    <n v="363.2"/>
  </r>
  <r>
    <s v="ORD200595"/>
    <d v="2025-01-10T00:00:00"/>
    <s v="C72596"/>
    <x v="4"/>
    <n v="2"/>
    <n v="385.16"/>
    <s v="491 Main St"/>
    <x v="1"/>
    <s v="Pending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s v="Returned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s v="Cancelled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s v="Pending"/>
    <s v="TRK59069987"/>
    <n v="5"/>
    <s v="no coupon"/>
    <x v="3"/>
    <n v="2476.75"/>
  </r>
  <r>
    <s v="ORD200599"/>
    <d v="2023-06-30T00:00:00"/>
    <s v="C28740"/>
    <x v="3"/>
    <n v="3"/>
    <n v="556.99"/>
    <s v="123 Main St"/>
    <x v="1"/>
    <s v="Cancelled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s v="Cancelled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s v="Shipped"/>
    <s v="TRK73935314"/>
    <n v="10"/>
    <s v="no coupon"/>
    <x v="1"/>
    <n v="124.1"/>
  </r>
  <r>
    <s v="ORD200602"/>
    <d v="2024-03-05T00:00:00"/>
    <s v="C35852"/>
    <x v="2"/>
    <n v="4"/>
    <n v="26.04"/>
    <s v="982 Main St"/>
    <x v="1"/>
    <s v="Pending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s v="Pending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s v="Delivered"/>
    <s v="TRK81368481"/>
    <n v="6"/>
    <s v="no coupon"/>
    <x v="3"/>
    <n v="97.859999999999985"/>
  </r>
  <r>
    <s v="ORD200605"/>
    <d v="2024-05-10T00:00:00"/>
    <s v="C49605"/>
    <x v="0"/>
    <n v="2"/>
    <n v="228.91"/>
    <s v="892 Main St"/>
    <x v="0"/>
    <s v="Shipped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s v="Cancelled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s v="Shipped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s v="Cancelled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s v="Returned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s v="Returned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s v="Returned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s v="Cancelled"/>
    <s v="TRK82377939"/>
    <n v="8"/>
    <s v="no coupon"/>
    <x v="4"/>
    <n v="1335.36"/>
  </r>
  <r>
    <s v="ORD200613"/>
    <d v="2024-12-19T00:00:00"/>
    <s v="C62405"/>
    <x v="5"/>
    <n v="2"/>
    <n v="230.36"/>
    <s v="154 Main St"/>
    <x v="1"/>
    <s v="Returned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s v="Cancelled"/>
    <s v="TRK12439827"/>
    <n v="3"/>
    <s v="no coupon"/>
    <x v="1"/>
    <n v="96.81"/>
  </r>
  <r>
    <s v="ORD200615"/>
    <d v="2025-03-07T00:00:00"/>
    <s v="C97218"/>
    <x v="0"/>
    <n v="5"/>
    <n v="460.14"/>
    <s v="252 Main St"/>
    <x v="2"/>
    <s v="Returned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s v="Cancelled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s v="Cancelled"/>
    <s v="TRK75469057"/>
    <n v="4"/>
    <s v="no coupon"/>
    <x v="1"/>
    <n v="553.41"/>
  </r>
  <r>
    <s v="ORD200618"/>
    <d v="2024-09-03T00:00:00"/>
    <s v="C50565"/>
    <x v="2"/>
    <n v="1"/>
    <n v="411.34"/>
    <s v="399 Main St"/>
    <x v="0"/>
    <s v="Returned"/>
    <s v="TRK97981418"/>
    <n v="5"/>
    <s v="no coupon"/>
    <x v="0"/>
    <n v="411.34"/>
  </r>
  <r>
    <s v="ORD200619"/>
    <d v="2024-07-16T00:00:00"/>
    <s v="C38845"/>
    <x v="5"/>
    <n v="1"/>
    <n v="532.89"/>
    <s v="764 Main St"/>
    <x v="3"/>
    <s v="Pending"/>
    <s v="TRK47637374"/>
    <n v="2"/>
    <s v="no coupon"/>
    <x v="1"/>
    <n v="532.89"/>
  </r>
  <r>
    <s v="ORD200620"/>
    <d v="2024-03-27T00:00:00"/>
    <s v="C84834"/>
    <x v="2"/>
    <n v="3"/>
    <n v="136.34"/>
    <s v="866 Main St"/>
    <x v="0"/>
    <s v="Returned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s v="Delivered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s v="Returned"/>
    <s v="TRK89314307"/>
    <n v="7"/>
    <s v="no coupon"/>
    <x v="3"/>
    <n v="1181.9000000000001"/>
  </r>
  <r>
    <s v="ORD200623"/>
    <d v="2023-06-16T00:00:00"/>
    <s v="C91941"/>
    <x v="4"/>
    <n v="3"/>
    <n v="396"/>
    <s v="269 Main St"/>
    <x v="3"/>
    <s v="Cancelled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s v="Delivered"/>
    <s v="TRK88559278"/>
    <n v="6"/>
    <s v="no coupon"/>
    <x v="2"/>
    <n v="1709.8"/>
  </r>
  <r>
    <s v="ORD200625"/>
    <d v="2023-09-24T00:00:00"/>
    <s v="C22123"/>
    <x v="2"/>
    <n v="1"/>
    <n v="672.89"/>
    <s v="519 Main St"/>
    <x v="2"/>
    <s v="Pending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s v="Shipped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s v="Returned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s v="Pending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s v="Pending"/>
    <s v="TRK91836131"/>
    <n v="3"/>
    <s v="no coupon"/>
    <x v="1"/>
    <n v="59.19"/>
  </r>
  <r>
    <s v="ORD200630"/>
    <d v="2023-06-23T00:00:00"/>
    <s v="C51481"/>
    <x v="0"/>
    <n v="5"/>
    <n v="248.84"/>
    <s v="140 Main St"/>
    <x v="0"/>
    <s v="Cancelled"/>
    <s v="TRK33437701"/>
    <n v="10"/>
    <s v="no coupon"/>
    <x v="0"/>
    <n v="1244.2"/>
  </r>
  <r>
    <s v="ORD200631"/>
    <d v="2024-08-31T00:00:00"/>
    <s v="C99128"/>
    <x v="3"/>
    <n v="3"/>
    <n v="46.11"/>
    <s v="360 Main St"/>
    <x v="3"/>
    <s v="Returned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s v="Delivered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s v="Cancelled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s v="Delivered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s v="Returned"/>
    <s v="TRK40879983"/>
    <n v="6"/>
    <s v="no coupon"/>
    <x v="3"/>
    <n v="191.04"/>
  </r>
  <r>
    <s v="ORD200636"/>
    <d v="2023-10-05T00:00:00"/>
    <s v="C60384"/>
    <x v="5"/>
    <n v="4"/>
    <n v="371.07"/>
    <s v="336 Main St"/>
    <x v="4"/>
    <s v="Cancelled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s v="Shipped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s v="Delivered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s v="Cancelled"/>
    <s v="TRK17415798"/>
    <n v="5"/>
    <s v="no coupon"/>
    <x v="1"/>
    <n v="529.19000000000005"/>
  </r>
  <r>
    <s v="ORD200640"/>
    <d v="2024-02-27T00:00:00"/>
    <s v="C46509"/>
    <x v="3"/>
    <n v="2"/>
    <n v="587.49"/>
    <s v="647 Main St"/>
    <x v="3"/>
    <s v="Returned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s v="Pending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s v="Cancelled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s v="Cancelled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s v="Shipped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s v="Cancelled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s v="Shipped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s v="Returned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s v="Delivered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s v="Returned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s v="Delivered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s v="Pending"/>
    <s v="TRK76931118"/>
    <n v="5"/>
    <s v="no coupon"/>
    <x v="4"/>
    <n v="1939.02"/>
  </r>
  <r>
    <s v="ORD200652"/>
    <d v="2024-06-05T00:00:00"/>
    <s v="C71473"/>
    <x v="3"/>
    <n v="5"/>
    <n v="341.84"/>
    <s v="328 Main St"/>
    <x v="1"/>
    <s v="Shipped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s v="Shipped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s v="Returned"/>
    <s v="TRK25748100"/>
    <n v="8"/>
    <s v="no coupon"/>
    <x v="0"/>
    <n v="1147.1099999999999"/>
  </r>
  <r>
    <s v="ORD200655"/>
    <d v="2023-03-14T00:00:00"/>
    <s v="C22101"/>
    <x v="3"/>
    <n v="2"/>
    <n v="132.6"/>
    <s v="262 Main St"/>
    <x v="0"/>
    <s v="Cancelled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s v="Shipped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s v="Cancelled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s v="Returned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s v="Delivered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s v="Shipped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s v="Cancelled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s v="Returned"/>
    <s v="TRK85744797"/>
    <n v="3"/>
    <s v="no coupon"/>
    <x v="3"/>
    <n v="1316.67"/>
  </r>
  <r>
    <s v="ORD200663"/>
    <d v="2024-04-15T00:00:00"/>
    <s v="C59774"/>
    <x v="0"/>
    <n v="1"/>
    <n v="72.599999999999994"/>
    <s v="941 Main St"/>
    <x v="0"/>
    <s v="Cancelled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s v="Shipped"/>
    <s v="TRK46492755"/>
    <n v="5"/>
    <s v="no coupon"/>
    <x v="3"/>
    <n v="779"/>
  </r>
  <r>
    <s v="ORD200665"/>
    <d v="2023-05-02T00:00:00"/>
    <s v="C83653"/>
    <x v="2"/>
    <n v="4"/>
    <n v="231.26"/>
    <s v="253 Main St"/>
    <x v="1"/>
    <s v="Shipped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s v="Cancelled"/>
    <s v="TRK45281495"/>
    <n v="4"/>
    <s v="no coupon"/>
    <x v="2"/>
    <n v="1308.48"/>
  </r>
  <r>
    <s v="ORD200667"/>
    <d v="2023-05-03T00:00:00"/>
    <s v="C10477"/>
    <x v="5"/>
    <n v="1"/>
    <n v="466.42"/>
    <s v="172 Main St"/>
    <x v="3"/>
    <s v="Pending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s v="Returned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s v="Cancelled"/>
    <s v="TRK65694249"/>
    <n v="5"/>
    <s v="no coupon"/>
    <x v="1"/>
    <n v="257"/>
  </r>
  <r>
    <s v="ORD200670"/>
    <d v="2024-04-18T00:00:00"/>
    <s v="C14576"/>
    <x v="6"/>
    <n v="4"/>
    <n v="539.20000000000005"/>
    <s v="747 Main St"/>
    <x v="2"/>
    <s v="Pending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s v="Cancelled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s v="Shipped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s v="Delivered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s v="Delivered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s v="Pending"/>
    <s v="TRK90233116"/>
    <n v="5"/>
    <s v="no coupon"/>
    <x v="2"/>
    <n v="1026.06"/>
  </r>
  <r>
    <s v="ORD200676"/>
    <d v="2025-06-23T00:00:00"/>
    <s v="C90431"/>
    <x v="5"/>
    <n v="2"/>
    <n v="422.34"/>
    <s v="985 Main St"/>
    <x v="2"/>
    <s v="Cancelled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s v="Cancelled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s v="Shipped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s v="Returned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s v="Returned"/>
    <s v="TRK16953491"/>
    <n v="3"/>
    <s v="no coupon"/>
    <x v="3"/>
    <n v="1390.17"/>
  </r>
  <r>
    <s v="ORD200681"/>
    <d v="2024-01-30T00:00:00"/>
    <s v="C38262"/>
    <x v="2"/>
    <n v="1"/>
    <n v="155.27000000000001"/>
    <s v="548 Main St"/>
    <x v="0"/>
    <s v="Shipped"/>
    <s v="TRK47300502"/>
    <n v="6"/>
    <s v="no coupon"/>
    <x v="2"/>
    <n v="155.27000000000001"/>
  </r>
  <r>
    <s v="ORD200682"/>
    <d v="2023-07-23T00:00:00"/>
    <s v="C50274"/>
    <x v="0"/>
    <n v="3"/>
    <n v="509.42"/>
    <s v="449 Main St"/>
    <x v="2"/>
    <s v="Cancelled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s v="Pending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s v="Shipped"/>
    <s v="TRK64353241"/>
    <n v="8"/>
    <s v="no coupon"/>
    <x v="2"/>
    <n v="139.36000000000001"/>
  </r>
  <r>
    <s v="ORD200685"/>
    <d v="2025-02-07T00:00:00"/>
    <s v="C64579"/>
    <x v="6"/>
    <n v="1"/>
    <n v="234.37"/>
    <s v="638 Main St"/>
    <x v="0"/>
    <s v="Shipped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s v="Pending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s v="Returned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s v="Cancelled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s v="Shipped"/>
    <s v="TRK56967415"/>
    <n v="7"/>
    <s v="no coupon"/>
    <x v="3"/>
    <n v="889.68"/>
  </r>
  <r>
    <s v="ORD200690"/>
    <d v="2024-07-12T00:00:00"/>
    <s v="C29318"/>
    <x v="0"/>
    <n v="1"/>
    <n v="24.48"/>
    <s v="128 Main St"/>
    <x v="3"/>
    <s v="Returned"/>
    <s v="TRK88666721"/>
    <n v="1"/>
    <s v="no coupon"/>
    <x v="0"/>
    <n v="24.48"/>
  </r>
  <r>
    <s v="ORD200691"/>
    <d v="2024-11-24T00:00:00"/>
    <s v="C36137"/>
    <x v="5"/>
    <n v="3"/>
    <n v="239.08"/>
    <s v="396 Main St"/>
    <x v="4"/>
    <s v="Shipped"/>
    <s v="TRK57376416"/>
    <n v="8"/>
    <s v="no coupon"/>
    <x v="4"/>
    <n v="717.24"/>
  </r>
  <r>
    <s v="ORD200692"/>
    <d v="2023-01-23T00:00:00"/>
    <s v="C25534"/>
    <x v="6"/>
    <n v="5"/>
    <n v="196.84"/>
    <s v="319 Main St"/>
    <x v="2"/>
    <s v="Delivered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s v="Returned"/>
    <s v="TRK10267127"/>
    <n v="4"/>
    <s v="no coupon"/>
    <x v="1"/>
    <n v="176.58"/>
  </r>
  <r>
    <s v="ORD200694"/>
    <d v="2023-10-02T00:00:00"/>
    <s v="C92049"/>
    <x v="4"/>
    <n v="4"/>
    <n v="666.52"/>
    <s v="619 Main St"/>
    <x v="4"/>
    <s v="Shipped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s v="Shipped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s v="Pending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s v="Shipped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s v="Delivered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s v="Cancelled"/>
    <s v="TRK84088900"/>
    <n v="3"/>
    <s v="no coupon"/>
    <x v="3"/>
    <n v="1842.45"/>
  </r>
  <r>
    <s v="ORD200700"/>
    <d v="2024-09-25T00:00:00"/>
    <s v="C40201"/>
    <x v="5"/>
    <n v="2"/>
    <n v="92.91"/>
    <s v="555 Main St"/>
    <x v="4"/>
    <s v="Returned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s v="Delivered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s v="Returned"/>
    <s v="TRK43589369"/>
    <n v="6"/>
    <s v="no coupon"/>
    <x v="2"/>
    <n v="1687.65"/>
  </r>
  <r>
    <s v="ORD200703"/>
    <d v="2023-03-22T00:00:00"/>
    <s v="C89336"/>
    <x v="6"/>
    <n v="1"/>
    <n v="92.79"/>
    <s v="799 Main St"/>
    <x v="4"/>
    <s v="Pending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s v="Delivered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s v="Returned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s v="Returned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s v="Cancelled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s v="Pending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s v="Pending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s v="Returned"/>
    <s v="TRK19086608"/>
    <n v="10"/>
    <s v="no coupon"/>
    <x v="4"/>
    <n v="107.7"/>
  </r>
  <r>
    <s v="ORD200711"/>
    <d v="2024-07-04T00:00:00"/>
    <s v="C61070"/>
    <x v="2"/>
    <n v="2"/>
    <n v="475.78"/>
    <s v="632 Main St"/>
    <x v="1"/>
    <s v="Shipped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s v="Pending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s v="Cancelled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s v="Pending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s v="Delivered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s v="Pending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s v="Delivered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s v="Cancelled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s v="Shipped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s v="Pending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s v="Delivered"/>
    <s v="TRK56110689"/>
    <n v="2"/>
    <s v="no coupon"/>
    <x v="2"/>
    <n v="237.18"/>
  </r>
  <r>
    <s v="ORD200722"/>
    <d v="2024-11-15T00:00:00"/>
    <s v="C58156"/>
    <x v="4"/>
    <n v="1"/>
    <n v="95.1"/>
    <s v="516 Main St"/>
    <x v="3"/>
    <s v="Pending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s v="Returned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s v="Returned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s v="Returned"/>
    <s v="TRK45670926"/>
    <n v="5"/>
    <s v="no coupon"/>
    <x v="1"/>
    <n v="389.7"/>
  </r>
  <r>
    <s v="ORD200726"/>
    <d v="2024-10-25T00:00:00"/>
    <s v="C18105"/>
    <x v="5"/>
    <n v="4"/>
    <n v="583.02"/>
    <s v="338 Main St"/>
    <x v="1"/>
    <s v="Delivered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s v="Shipped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s v="Shipped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s v="Pending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s v="Delivered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s v="Returned"/>
    <s v="TRK48292586"/>
    <n v="8"/>
    <s v="no coupon"/>
    <x v="2"/>
    <n v="2922.3"/>
  </r>
  <r>
    <s v="ORD200732"/>
    <d v="2025-03-07T00:00:00"/>
    <s v="C80987"/>
    <x v="5"/>
    <n v="1"/>
    <n v="132.05000000000001"/>
    <s v="787 Main St"/>
    <x v="1"/>
    <s v="Delivered"/>
    <s v="TRK42187776"/>
    <n v="2"/>
    <s v="no coupon"/>
    <x v="4"/>
    <n v="132.05000000000001"/>
  </r>
  <r>
    <s v="ORD200733"/>
    <d v="2023-12-04T00:00:00"/>
    <s v="C90757"/>
    <x v="2"/>
    <n v="4"/>
    <n v="494.84"/>
    <s v="694 Main St"/>
    <x v="4"/>
    <s v="Returned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s v="Returned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s v="Pending"/>
    <s v="TRK13443264"/>
    <n v="6"/>
    <s v="no coupon"/>
    <x v="2"/>
    <n v="176.28"/>
  </r>
  <r>
    <s v="ORD200736"/>
    <d v="2024-02-09T00:00:00"/>
    <s v="C59441"/>
    <x v="0"/>
    <n v="5"/>
    <n v="418.53"/>
    <s v="696 Main St"/>
    <x v="2"/>
    <s v="Pending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s v="Pending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s v="Shipped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s v="Delivered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s v="Pending"/>
    <s v="TRK76154554"/>
    <n v="7"/>
    <s v="no coupon"/>
    <x v="4"/>
    <n v="754.94"/>
  </r>
  <r>
    <s v="ORD200741"/>
    <d v="2025-01-23T00:00:00"/>
    <s v="C99683"/>
    <x v="0"/>
    <n v="5"/>
    <n v="332.64"/>
    <s v="945 Main St"/>
    <x v="3"/>
    <s v="Delivered"/>
    <s v="TRK87305883"/>
    <n v="10"/>
    <s v="no coupon"/>
    <x v="1"/>
    <n v="1663.2"/>
  </r>
  <r>
    <s v="ORD200742"/>
    <d v="2024-11-30T00:00:00"/>
    <s v="C41974"/>
    <x v="5"/>
    <n v="3"/>
    <n v="699.93"/>
    <s v="726 Main St"/>
    <x v="4"/>
    <s v="Returned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s v="Returned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s v="Delivered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s v="Pending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s v="Cancelled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s v="Delivered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s v="Shipped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s v="Pending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s v="Returned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s v="Pending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s v="Delivered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s v="Returned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s v="Returned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s v="Pending"/>
    <s v="TRK60515972"/>
    <n v="4"/>
    <s v="no coupon"/>
    <x v="2"/>
    <n v="1010.13"/>
  </r>
  <r>
    <s v="ORD200756"/>
    <d v="2024-06-27T00:00:00"/>
    <s v="C14080"/>
    <x v="1"/>
    <n v="1"/>
    <n v="283.69"/>
    <s v="202 Main St"/>
    <x v="3"/>
    <s v="Shipped"/>
    <s v="TRK93163682"/>
    <n v="6"/>
    <s v="no coupon"/>
    <x v="4"/>
    <n v="283.69"/>
  </r>
  <r>
    <s v="ORD200757"/>
    <d v="2024-02-22T00:00:00"/>
    <s v="C81074"/>
    <x v="6"/>
    <n v="1"/>
    <n v="157.72"/>
    <s v="597 Main St"/>
    <x v="0"/>
    <s v="Delivered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s v="Cancelled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s v="Pending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s v="Cancelled"/>
    <s v="TRK73324346"/>
    <n v="5"/>
    <s v="no coupon"/>
    <x v="4"/>
    <n v="39.56"/>
  </r>
  <r>
    <s v="ORD200761"/>
    <d v="2023-06-02T00:00:00"/>
    <s v="C37235"/>
    <x v="6"/>
    <n v="4"/>
    <n v="37.76"/>
    <s v="217 Main St"/>
    <x v="0"/>
    <s v="Delivered"/>
    <s v="TRK67789367"/>
    <n v="7"/>
    <s v="no coupon"/>
    <x v="4"/>
    <n v="151.04"/>
  </r>
  <r>
    <s v="ORD200762"/>
    <d v="2024-09-17T00:00:00"/>
    <s v="C12444"/>
    <x v="1"/>
    <n v="3"/>
    <n v="76.959999999999994"/>
    <s v="611 Main St"/>
    <x v="4"/>
    <s v="Returned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s v="Delivered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s v="Cancelled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s v="Returned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s v="Pending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s v="Delivered"/>
    <s v="TRK80436037"/>
    <n v="7"/>
    <s v="no coupon"/>
    <x v="0"/>
    <n v="646.44000000000005"/>
  </r>
  <r>
    <s v="ORD200768"/>
    <d v="2023-09-04T00:00:00"/>
    <s v="C35987"/>
    <x v="2"/>
    <n v="5"/>
    <n v="653.46"/>
    <s v="165 Main St"/>
    <x v="4"/>
    <s v="Cancelled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s v="Delivered"/>
    <s v="TRK98691410"/>
    <n v="5"/>
    <s v="no coupon"/>
    <x v="2"/>
    <n v="2714.2"/>
  </r>
  <r>
    <s v="ORD200770"/>
    <d v="2024-02-11T00:00:00"/>
    <s v="C72166"/>
    <x v="6"/>
    <n v="1"/>
    <n v="314.38"/>
    <s v="227 Main St"/>
    <x v="1"/>
    <s v="Returned"/>
    <s v="TRK67733444"/>
    <n v="6"/>
    <s v="no coupon"/>
    <x v="4"/>
    <n v="314.38"/>
  </r>
  <r>
    <s v="ORD200771"/>
    <d v="2024-06-12T00:00:00"/>
    <s v="C20357"/>
    <x v="1"/>
    <n v="3"/>
    <n v="692.44"/>
    <s v="272 Main St"/>
    <x v="0"/>
    <s v="Cancelled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s v="Delivered"/>
    <s v="TRK25799478"/>
    <n v="4"/>
    <s v="no coupon"/>
    <x v="0"/>
    <n v="604.87"/>
  </r>
  <r>
    <s v="ORD200773"/>
    <d v="2025-06-28T00:00:00"/>
    <s v="C99205"/>
    <x v="1"/>
    <n v="2"/>
    <n v="512.33000000000004"/>
    <s v="415 Main St"/>
    <x v="4"/>
    <s v="Cancelled"/>
    <s v="TRK48904015"/>
    <n v="7"/>
    <s v="no coupon"/>
    <x v="3"/>
    <n v="1024.6600000000001"/>
  </r>
  <r>
    <s v="ORD200774"/>
    <d v="2025-04-15T00:00:00"/>
    <s v="C29701"/>
    <x v="3"/>
    <n v="3"/>
    <n v="20.54"/>
    <s v="257 Main St"/>
    <x v="2"/>
    <s v="Cancelled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s v="Cancelled"/>
    <s v="TRK22051900"/>
    <n v="5"/>
    <s v="no coupon"/>
    <x v="4"/>
    <n v="1250.44"/>
  </r>
  <r>
    <s v="ORD200776"/>
    <d v="2023-08-21T00:00:00"/>
    <s v="C69168"/>
    <x v="2"/>
    <n v="1"/>
    <n v="21.19"/>
    <s v="482 Main St"/>
    <x v="4"/>
    <s v="Returned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s v="Cancelled"/>
    <s v="TRK41967983"/>
    <n v="7"/>
    <s v="no coupon"/>
    <x v="3"/>
    <n v="322.45"/>
  </r>
  <r>
    <s v="ORD200778"/>
    <d v="2023-04-28T00:00:00"/>
    <s v="C85059"/>
    <x v="5"/>
    <n v="4"/>
    <n v="246.85"/>
    <s v="316 Main St"/>
    <x v="2"/>
    <s v="Shipped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s v="Pending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s v="Cancelled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s v="Delivered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s v="Returned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s v="Returned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s v="Pending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s v="Pending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s v="Cancelled"/>
    <s v="TRK99583414"/>
    <n v="8"/>
    <s v="no coupon"/>
    <x v="1"/>
    <n v="226.55"/>
  </r>
  <r>
    <s v="ORD200787"/>
    <d v="2024-03-17T00:00:00"/>
    <s v="C18167"/>
    <x v="6"/>
    <n v="4"/>
    <n v="221.96"/>
    <s v="193 Main St"/>
    <x v="4"/>
    <s v="Delivered"/>
    <s v="TRK36841089"/>
    <n v="7"/>
    <s v="no coupon"/>
    <x v="4"/>
    <n v="887.84"/>
  </r>
  <r>
    <s v="ORD200788"/>
    <d v="2023-11-02T00:00:00"/>
    <s v="C47307"/>
    <x v="3"/>
    <n v="2"/>
    <n v="601.42999999999995"/>
    <s v="761 Main St"/>
    <x v="1"/>
    <s v="Pending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s v="Delivered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s v="Pending"/>
    <s v="TRK96636009"/>
    <n v="4"/>
    <s v="no coupon"/>
    <x v="4"/>
    <n v="1671.56"/>
  </r>
  <r>
    <s v="ORD200791"/>
    <d v="2024-01-13T00:00:00"/>
    <s v="C49710"/>
    <x v="3"/>
    <n v="4"/>
    <n v="409.28"/>
    <s v="956 Main St"/>
    <x v="4"/>
    <s v="Pending"/>
    <s v="TRK92591237"/>
    <n v="8"/>
    <s v="no coupon"/>
    <x v="2"/>
    <n v="1637.12"/>
  </r>
  <r>
    <s v="ORD200792"/>
    <d v="2023-06-16T00:00:00"/>
    <s v="C41709"/>
    <x v="6"/>
    <n v="2"/>
    <n v="356.35"/>
    <s v="746 Main St"/>
    <x v="0"/>
    <s v="Returned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s v="Delivered"/>
    <s v="TRK69599961"/>
    <n v="8"/>
    <s v="no coupon"/>
    <x v="1"/>
    <n v="851.1"/>
  </r>
  <r>
    <s v="ORD200794"/>
    <d v="2023-03-09T00:00:00"/>
    <s v="C76653"/>
    <x v="4"/>
    <n v="4"/>
    <n v="384.85"/>
    <s v="988 Main St"/>
    <x v="1"/>
    <s v="Delivered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s v="Pending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s v="Returned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s v="Returned"/>
    <s v="TRK72557318"/>
    <n v="2"/>
    <s v="no coupon"/>
    <x v="3"/>
    <n v="877.52"/>
  </r>
  <r>
    <s v="ORD200798"/>
    <d v="2025-05-19T00:00:00"/>
    <s v="C20861"/>
    <x v="1"/>
    <n v="5"/>
    <n v="488.35"/>
    <s v="968 Main St"/>
    <x v="0"/>
    <s v="Returned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s v="Returned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s v="Returned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s v="Pending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s v="Cancelled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s v="Returned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s v="Delivered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s v="Cancelled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s v="Pending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s v="Delivered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s v="Shipped"/>
    <s v="TRK80383756"/>
    <n v="3"/>
    <s v="no coupon"/>
    <x v="4"/>
    <n v="402.15"/>
  </r>
  <r>
    <s v="ORD200809"/>
    <d v="2024-04-09T00:00:00"/>
    <s v="C80416"/>
    <x v="6"/>
    <n v="5"/>
    <n v="217.43"/>
    <s v="752 Main St"/>
    <x v="0"/>
    <s v="Shipped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s v="Cancelled"/>
    <s v="TRK16749863"/>
    <n v="5"/>
    <s v="no coupon"/>
    <x v="1"/>
    <n v="553.55999999999995"/>
  </r>
  <r>
    <s v="ORD200811"/>
    <d v="2023-11-05T00:00:00"/>
    <s v="C24769"/>
    <x v="5"/>
    <n v="2"/>
    <n v="28.55"/>
    <s v="864 Main St"/>
    <x v="3"/>
    <s v="Shipped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s v="Cancelled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s v="Cancelled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s v="Pending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s v="Cancelled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s v="Pending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s v="Delivered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s v="Cancelled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s v="Cancelled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s v="Returned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s v="Delivered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s v="Returned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s v="Shipped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s v="Returned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s v="Returned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s v="Returned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s v="Delivered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s v="Shipped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s v="Delivered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s v="Delivered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s v="Pending"/>
    <s v="TRK61346824"/>
    <n v="5"/>
    <s v="no coupon"/>
    <x v="4"/>
    <n v="177.46"/>
  </r>
  <r>
    <s v="ORD200832"/>
    <d v="2024-03-12T00:00:00"/>
    <s v="C63372"/>
    <x v="3"/>
    <n v="5"/>
    <n v="485.71"/>
    <s v="903 Main St"/>
    <x v="1"/>
    <s v="Pending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s v="Shipped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s v="Returned"/>
    <s v="TRK22084320"/>
    <n v="10"/>
    <s v="no coupon"/>
    <x v="0"/>
    <n v="110.7"/>
  </r>
  <r>
    <s v="ORD200835"/>
    <d v="2024-03-26T00:00:00"/>
    <s v="C16429"/>
    <x v="6"/>
    <n v="1"/>
    <n v="679.65"/>
    <s v="390 Main St"/>
    <x v="0"/>
    <s v="Shipped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s v="Cancelled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s v="Delivered"/>
    <s v="TRK59701278"/>
    <n v="5"/>
    <s v="no coupon"/>
    <x v="2"/>
    <n v="3277.75"/>
  </r>
  <r>
    <s v="ORD200838"/>
    <d v="2024-04-11T00:00:00"/>
    <s v="C57798"/>
    <x v="6"/>
    <n v="4"/>
    <n v="577.08000000000004"/>
    <s v="384 Main St"/>
    <x v="1"/>
    <s v="Pending"/>
    <s v="TRK68797566"/>
    <n v="8"/>
    <s v="no coupon"/>
    <x v="3"/>
    <n v="2308.3200000000002"/>
  </r>
  <r>
    <s v="ORD200839"/>
    <d v="2023-08-24T00:00:00"/>
    <s v="C82858"/>
    <x v="3"/>
    <n v="3"/>
    <n v="197.97"/>
    <s v="551 Main St"/>
    <x v="1"/>
    <s v="Cancelled"/>
    <s v="TRK90618490"/>
    <n v="5"/>
    <s v="no coupon"/>
    <x v="4"/>
    <n v="593.91"/>
  </r>
  <r>
    <s v="ORD200840"/>
    <d v="2024-01-14T00:00:00"/>
    <s v="C60699"/>
    <x v="3"/>
    <n v="3"/>
    <n v="411.95"/>
    <s v="672 Main St"/>
    <x v="2"/>
    <s v="Delivered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s v="Delivered"/>
    <s v="TRK51732528"/>
    <n v="5"/>
    <s v="no coupon"/>
    <x v="3"/>
    <n v="886.44"/>
  </r>
  <r>
    <s v="ORD200842"/>
    <d v="2025-05-07T00:00:00"/>
    <s v="C78305"/>
    <x v="5"/>
    <n v="3"/>
    <n v="364.14"/>
    <s v="396 Main St"/>
    <x v="1"/>
    <s v="Pending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s v="Cancelled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s v="Returned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s v="Delivered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s v="Cancelled"/>
    <s v="TRK43977698"/>
    <n v="4"/>
    <s v="no coupon"/>
    <x v="1"/>
    <n v="719.72"/>
  </r>
  <r>
    <s v="ORD200847"/>
    <d v="2024-11-18T00:00:00"/>
    <s v="C48176"/>
    <x v="4"/>
    <n v="4"/>
    <n v="434.23"/>
    <s v="670 Main St"/>
    <x v="1"/>
    <s v="Shipped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s v="Shipped"/>
    <s v="TRK18049633"/>
    <n v="5"/>
    <s v="no coupon"/>
    <x v="1"/>
    <n v="1291.7"/>
  </r>
  <r>
    <s v="ORD200849"/>
    <d v="2025-06-09T00:00:00"/>
    <s v="C16675"/>
    <x v="4"/>
    <n v="4"/>
    <n v="214.35"/>
    <s v="664 Main St"/>
    <x v="0"/>
    <s v="Cancelled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s v="Cancelled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s v="Cancelled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s v="Pending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s v="Returned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s v="Delivered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s v="Shipped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s v="Shipped"/>
    <s v="TRK95768773"/>
    <n v="5"/>
    <s v="no coupon"/>
    <x v="3"/>
    <n v="586.62"/>
  </r>
  <r>
    <s v="ORD200857"/>
    <d v="2024-03-10T00:00:00"/>
    <s v="C56506"/>
    <x v="1"/>
    <n v="3"/>
    <n v="257.83999999999997"/>
    <s v="185 Main St"/>
    <x v="1"/>
    <s v="Delivered"/>
    <s v="TRK86808324"/>
    <n v="4"/>
    <s v="no coupon"/>
    <x v="0"/>
    <n v="773.52"/>
  </r>
  <r>
    <s v="ORD200858"/>
    <d v="2023-08-20T00:00:00"/>
    <s v="C22167"/>
    <x v="2"/>
    <n v="5"/>
    <n v="435.66"/>
    <s v="891 Main St"/>
    <x v="1"/>
    <s v="Pending"/>
    <s v="TRK70269748"/>
    <n v="9"/>
    <s v="no coupon"/>
    <x v="3"/>
    <n v="2178.3000000000002"/>
  </r>
  <r>
    <s v="ORD200859"/>
    <d v="2024-08-28T00:00:00"/>
    <s v="C11127"/>
    <x v="3"/>
    <n v="5"/>
    <n v="261.33"/>
    <s v="154 Main St"/>
    <x v="2"/>
    <s v="Returned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s v="Delivered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s v="Shipped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s v="Shipped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s v="Pending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s v="Delivered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s v="Pending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s v="Cancelled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s v="Delivered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s v="Delivered"/>
    <s v="TRK42985882"/>
    <n v="7"/>
    <s v="no coupon"/>
    <x v="3"/>
    <n v="1265.28"/>
  </r>
  <r>
    <s v="ORD200869"/>
    <d v="2024-03-17T00:00:00"/>
    <s v="C29905"/>
    <x v="6"/>
    <n v="2"/>
    <n v="533.95000000000005"/>
    <s v="790 Main St"/>
    <x v="1"/>
    <s v="Delivered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s v="Delivered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s v="Pending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s v="Shipped"/>
    <s v="TRK90883858"/>
    <n v="7"/>
    <s v="no coupon"/>
    <x v="2"/>
    <n v="2517.36"/>
  </r>
  <r>
    <s v="ORD200873"/>
    <d v="2024-05-12T00:00:00"/>
    <s v="C53488"/>
    <x v="6"/>
    <n v="3"/>
    <n v="136.84"/>
    <s v="448 Main St"/>
    <x v="4"/>
    <s v="Delivered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s v="Delivered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s v="Delivered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s v="Pending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s v="Pending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s v="Cancelled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s v="Shipped"/>
    <s v="TRK86373987"/>
    <n v="3"/>
    <s v="no coupon"/>
    <x v="0"/>
    <n v="1095.3399999999999"/>
  </r>
  <r>
    <s v="ORD200880"/>
    <d v="2025-03-12T00:00:00"/>
    <s v="C85074"/>
    <x v="5"/>
    <n v="4"/>
    <n v="233.7"/>
    <s v="506 Main St"/>
    <x v="1"/>
    <s v="Shipped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s v="Pending"/>
    <s v="TRK48000034"/>
    <n v="6"/>
    <s v="no coupon"/>
    <x v="0"/>
    <n v="897.7"/>
  </r>
  <r>
    <s v="ORD200882"/>
    <d v="2025-06-28T00:00:00"/>
    <s v="C43335"/>
    <x v="1"/>
    <n v="2"/>
    <n v="274.12"/>
    <s v="533 Main St"/>
    <x v="4"/>
    <s v="Delivered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s v="Delivered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s v="Shipped"/>
    <s v="TRK52137079"/>
    <n v="4"/>
    <s v="no coupon"/>
    <x v="0"/>
    <n v="595.54"/>
  </r>
  <r>
    <s v="ORD200885"/>
    <d v="2024-04-07T00:00:00"/>
    <s v="C61090"/>
    <x v="5"/>
    <n v="4"/>
    <n v="515.59"/>
    <s v="387 Main St"/>
    <x v="2"/>
    <s v="Shipped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s v="Returned"/>
    <s v="TRK22046456"/>
    <n v="1"/>
    <s v="no coupon"/>
    <x v="4"/>
    <n v="460.13"/>
  </r>
  <r>
    <s v="ORD200887"/>
    <d v="2024-12-19T00:00:00"/>
    <s v="C67932"/>
    <x v="3"/>
    <n v="3"/>
    <n v="171.66"/>
    <s v="857 Main St"/>
    <x v="0"/>
    <s v="Delivered"/>
    <s v="TRK88547534"/>
    <n v="7"/>
    <s v="no coupon"/>
    <x v="4"/>
    <n v="514.98"/>
  </r>
  <r>
    <s v="ORD200888"/>
    <d v="2024-07-23T00:00:00"/>
    <s v="C14427"/>
    <x v="5"/>
    <n v="2"/>
    <n v="266.95"/>
    <s v="833 Main St"/>
    <x v="2"/>
    <s v="Pending"/>
    <s v="TRK58024529"/>
    <n v="3"/>
    <s v="no coupon"/>
    <x v="0"/>
    <n v="533.9"/>
  </r>
  <r>
    <s v="ORD200889"/>
    <d v="2024-10-27T00:00:00"/>
    <s v="C36725"/>
    <x v="0"/>
    <n v="5"/>
    <n v="650.72"/>
    <s v="350 Main St"/>
    <x v="2"/>
    <s v="Cancelled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s v="Pending"/>
    <s v="TRK85741716"/>
    <n v="5"/>
    <s v="no coupon"/>
    <x v="4"/>
    <n v="1318.59"/>
  </r>
  <r>
    <s v="ORD200891"/>
    <d v="2023-11-11T00:00:00"/>
    <s v="C36534"/>
    <x v="0"/>
    <n v="3"/>
    <n v="654.54"/>
    <s v="918 Main St"/>
    <x v="4"/>
    <s v="Returned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s v="Shipped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s v="Pending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s v="Cancelled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s v="Pending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s v="Shipped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s v="Delivered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s v="Shipped"/>
    <s v="TRK66662528"/>
    <n v="6"/>
    <s v="no coupon"/>
    <x v="1"/>
    <n v="475.11"/>
  </r>
  <r>
    <s v="ORD200899"/>
    <d v="2025-04-23T00:00:00"/>
    <s v="C99904"/>
    <x v="4"/>
    <n v="2"/>
    <n v="323.37"/>
    <s v="552 Main St"/>
    <x v="1"/>
    <s v="Pending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s v="Pending"/>
    <s v="TRK67342586"/>
    <n v="9"/>
    <s v="no coupon"/>
    <x v="0"/>
    <n v="369.15"/>
  </r>
  <r>
    <s v="ORD200901"/>
    <d v="2024-04-28T00:00:00"/>
    <s v="C44277"/>
    <x v="2"/>
    <n v="1"/>
    <n v="458.63"/>
    <s v="839 Main St"/>
    <x v="0"/>
    <s v="Returned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s v="Cancelled"/>
    <s v="TRK76712124"/>
    <n v="7"/>
    <s v="no coupon"/>
    <x v="3"/>
    <n v="721"/>
  </r>
  <r>
    <s v="ORD200903"/>
    <d v="2023-05-17T00:00:00"/>
    <s v="C80868"/>
    <x v="0"/>
    <n v="3"/>
    <n v="473.49"/>
    <s v="205 Main St"/>
    <x v="2"/>
    <s v="Pending"/>
    <s v="TRK56186636"/>
    <n v="7"/>
    <s v="no coupon"/>
    <x v="2"/>
    <n v="1420.47"/>
  </r>
  <r>
    <s v="ORD200904"/>
    <d v="2025-02-05T00:00:00"/>
    <s v="C16693"/>
    <x v="0"/>
    <n v="4"/>
    <n v="237.43"/>
    <s v="262 Main St"/>
    <x v="4"/>
    <s v="Cancelled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s v="Pending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s v="Returned"/>
    <s v="TRK80175572"/>
    <n v="2"/>
    <s v="no coupon"/>
    <x v="2"/>
    <n v="62.12"/>
  </r>
  <r>
    <s v="ORD200907"/>
    <d v="2024-08-04T00:00:00"/>
    <s v="C90898"/>
    <x v="6"/>
    <n v="5"/>
    <n v="298.39"/>
    <s v="583 Main St"/>
    <x v="3"/>
    <s v="Cancelled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s v="Cancelled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s v="Shipped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s v="Delivered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s v="Cancelled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s v="Returned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s v="Returned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s v="Returned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s v="Shipped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s v="Returned"/>
    <s v="TRK13928455"/>
    <n v="6"/>
    <s v="no coupon"/>
    <x v="1"/>
    <n v="2894.15"/>
  </r>
  <r>
    <s v="ORD200917"/>
    <d v="2025-01-20T00:00:00"/>
    <s v="C65524"/>
    <x v="5"/>
    <n v="5"/>
    <n v="383.82"/>
    <s v="836 Main St"/>
    <x v="2"/>
    <s v="Returned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s v="Delivered"/>
    <s v="TRK18250450"/>
    <n v="5"/>
    <s v="no coupon"/>
    <x v="0"/>
    <n v="1841.25"/>
  </r>
  <r>
    <s v="ORD200919"/>
    <d v="2025-02-07T00:00:00"/>
    <s v="C92086"/>
    <x v="4"/>
    <n v="2"/>
    <n v="374.6"/>
    <s v="187 Main St"/>
    <x v="1"/>
    <s v="Shipped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s v="Returned"/>
    <s v="TRK98110407"/>
    <n v="6"/>
    <s v="no coupon"/>
    <x v="0"/>
    <n v="856.18"/>
  </r>
  <r>
    <s v="ORD200921"/>
    <d v="2023-07-24T00:00:00"/>
    <s v="C90573"/>
    <x v="2"/>
    <n v="1"/>
    <n v="438.93"/>
    <s v="144 Main St"/>
    <x v="3"/>
    <s v="Cancelled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s v="Pending"/>
    <s v="TRK79737732"/>
    <n v="3"/>
    <s v="no coupon"/>
    <x v="0"/>
    <n v="1127.6400000000001"/>
  </r>
  <r>
    <s v="ORD200923"/>
    <d v="2023-02-11T00:00:00"/>
    <s v="C91582"/>
    <x v="4"/>
    <n v="3"/>
    <n v="649.92999999999995"/>
    <s v="836 Main St"/>
    <x v="2"/>
    <s v="Pending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s v="Returned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s v="Shipped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s v="Delivered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s v="Shipped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s v="Returned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s v="Pending"/>
    <s v="TRK71803414"/>
    <n v="3"/>
    <s v="no coupon"/>
    <x v="2"/>
    <n v="1072.5"/>
  </r>
  <r>
    <s v="ORD200930"/>
    <d v="2024-12-16T00:00:00"/>
    <s v="C59554"/>
    <x v="1"/>
    <n v="2"/>
    <n v="456.04"/>
    <s v="382 Main St"/>
    <x v="0"/>
    <s v="Returned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s v="Cancelled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s v="Delivered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s v="Shipped"/>
    <s v="TRK43718093"/>
    <n v="2"/>
    <s v="no coupon"/>
    <x v="1"/>
    <n v="788.32"/>
  </r>
  <r>
    <s v="ORD200934"/>
    <d v="2025-06-01T00:00:00"/>
    <s v="C40304"/>
    <x v="5"/>
    <n v="4"/>
    <n v="119.84"/>
    <s v="692 Main St"/>
    <x v="3"/>
    <s v="Shipped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s v="Delivered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s v="Delivered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s v="Cancelled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s v="Cancelled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s v="Delivered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s v="Cancelled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s v="Cancelled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s v="Pending"/>
    <s v="TRK56070470"/>
    <n v="1"/>
    <s v="no coupon"/>
    <x v="2"/>
    <n v="479.76"/>
  </r>
  <r>
    <s v="ORD200943"/>
    <d v="2023-12-27T00:00:00"/>
    <s v="C43330"/>
    <x v="0"/>
    <n v="3"/>
    <n v="193.49"/>
    <s v="355 Main St"/>
    <x v="3"/>
    <s v="Returned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s v="Delivered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s v="Shipped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s v="Shipped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s v="Returned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s v="Cancelled"/>
    <s v="TRK79269291"/>
    <n v="2"/>
    <s v="no coupon"/>
    <x v="4"/>
    <n v="1188.1400000000001"/>
  </r>
  <r>
    <s v="ORD200949"/>
    <d v="2023-11-09T00:00:00"/>
    <s v="C55778"/>
    <x v="6"/>
    <n v="5"/>
    <n v="110.38"/>
    <s v="319 Main St"/>
    <x v="4"/>
    <s v="Pending"/>
    <s v="TRK93797108"/>
    <n v="10"/>
    <s v="no coupon"/>
    <x v="1"/>
    <n v="551.9"/>
  </r>
  <r>
    <s v="ORD200950"/>
    <d v="2024-05-31T00:00:00"/>
    <s v="C19722"/>
    <x v="5"/>
    <n v="1"/>
    <n v="596.24"/>
    <s v="891 Main St"/>
    <x v="2"/>
    <s v="Returned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s v="Returned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s v="Pending"/>
    <s v="TRK45303393"/>
    <n v="5"/>
    <s v="no coupon"/>
    <x v="3"/>
    <n v="1510.17"/>
  </r>
  <r>
    <s v="ORD200953"/>
    <d v="2023-02-06T00:00:00"/>
    <s v="C43721"/>
    <x v="1"/>
    <n v="1"/>
    <n v="131.61000000000001"/>
    <s v="971 Main St"/>
    <x v="4"/>
    <s v="Shipped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s v="Shipped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s v="Shipped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s v="Delivered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s v="Returned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s v="Delivered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s v="Returned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s v="Pending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s v="Shipped"/>
    <s v="TRK81178598"/>
    <n v="1"/>
    <s v="no coupon"/>
    <x v="3"/>
    <n v="601.36"/>
  </r>
  <r>
    <s v="ORD200962"/>
    <d v="2024-09-06T00:00:00"/>
    <s v="C12459"/>
    <x v="1"/>
    <n v="2"/>
    <n v="142.08000000000001"/>
    <s v="838 Main St"/>
    <x v="3"/>
    <s v="Delivered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s v="Shipped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s v="Cancelled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s v="Cancelled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s v="Cancelled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s v="Returned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s v="Shipped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s v="Shipped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s v="Delivered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s v="Cancelled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s v="Delivered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s v="Pending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s v="Cancelled"/>
    <s v="TRK52088168"/>
    <n v="5"/>
    <s v="no coupon"/>
    <x v="2"/>
    <n v="1333.9"/>
  </r>
  <r>
    <s v="ORD200975"/>
    <d v="2023-05-18T00:00:00"/>
    <s v="C70529"/>
    <x v="6"/>
    <n v="1"/>
    <n v="105.92"/>
    <s v="974 Main St"/>
    <x v="3"/>
    <s v="Returned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s v="Returned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s v="Pending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s v="Delivered"/>
    <s v="TRK61047536"/>
    <n v="5"/>
    <s v="no coupon"/>
    <x v="4"/>
    <n v="429.96"/>
  </r>
  <r>
    <s v="ORD200979"/>
    <d v="2023-05-31T00:00:00"/>
    <s v="C75018"/>
    <x v="0"/>
    <n v="3"/>
    <n v="669.06"/>
    <s v="299 Main St"/>
    <x v="4"/>
    <s v="Delivered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s v="Delivered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s v="Pending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s v="Shipped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s v="Shipped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s v="Shipped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s v="Delivered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s v="Pending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s v="Pending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s v="Cancelled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s v="Pending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s v="Pending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s v="Cancelled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s v="Pending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s v="Delivered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s v="Delivered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s v="Pending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s v="Delivered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s v="Delivered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s v="Cancelled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s v="Pending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s v="Delivered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s v="Shipped"/>
    <s v="TRK19554327"/>
    <n v="6"/>
    <s v="no coupon"/>
    <x v="1"/>
    <n v="507.36"/>
  </r>
  <r>
    <s v="ORD201002"/>
    <d v="2025-06-19T00:00:00"/>
    <s v="C83911"/>
    <x v="2"/>
    <n v="4"/>
    <n v="699.88"/>
    <s v="944 Main St"/>
    <x v="4"/>
    <s v="Pending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s v="Shipped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s v="Pending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s v="Returned"/>
    <s v="TRK11448295"/>
    <n v="6"/>
    <s v="no coupon"/>
    <x v="4"/>
    <n v="1178.55"/>
  </r>
  <r>
    <s v="ORD201006"/>
    <d v="2024-05-27T00:00:00"/>
    <s v="C27435"/>
    <x v="2"/>
    <n v="5"/>
    <n v="420.98"/>
    <s v="860 Main St"/>
    <x v="4"/>
    <s v="Delivered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s v="Pending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s v="Delivered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s v="Delivered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s v="Cancelled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s v="Shipped"/>
    <s v="TRK22271097"/>
    <n v="3"/>
    <s v="no coupon"/>
    <x v="4"/>
    <n v="956.72"/>
  </r>
  <r>
    <s v="ORD201012"/>
    <d v="2024-12-03T00:00:00"/>
    <s v="C84570"/>
    <x v="4"/>
    <n v="4"/>
    <n v="30.05"/>
    <s v="301 Main St"/>
    <x v="1"/>
    <s v="Returned"/>
    <s v="TRK12551882"/>
    <n v="6"/>
    <s v="no coupon"/>
    <x v="3"/>
    <n v="120.2"/>
  </r>
  <r>
    <s v="ORD201013"/>
    <d v="2025-04-26T00:00:00"/>
    <s v="C91123"/>
    <x v="5"/>
    <n v="4"/>
    <n v="300.56"/>
    <s v="842 Main St"/>
    <x v="4"/>
    <s v="Cancelled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s v="Returned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s v="Shipped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s v="Delivered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s v="Delivered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s v="Delivered"/>
    <s v="TRK20703086"/>
    <n v="3"/>
    <s v="no coupon"/>
    <x v="0"/>
    <n v="547.43999999999994"/>
  </r>
  <r>
    <s v="ORD201019"/>
    <d v="2024-04-06T00:00:00"/>
    <s v="C28386"/>
    <x v="6"/>
    <n v="1"/>
    <n v="277.08999999999997"/>
    <s v="293 Main St"/>
    <x v="4"/>
    <s v="Returned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s v="Delivered"/>
    <s v="TRK47787981"/>
    <n v="3"/>
    <s v="SAVE10"/>
    <x v="0"/>
    <n v="53"/>
  </r>
  <r>
    <s v="ORD201021"/>
    <d v="2023-10-23T00:00:00"/>
    <s v="C74519"/>
    <x v="1"/>
    <n v="3"/>
    <n v="315.27"/>
    <s v="309 Main St"/>
    <x v="2"/>
    <s v="Cancelled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s v="Shipped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s v="Shipped"/>
    <s v="TRK32059025"/>
    <n v="10"/>
    <s v="no coupon"/>
    <x v="1"/>
    <n v="1168.3499999999999"/>
  </r>
  <r>
    <s v="ORD201024"/>
    <d v="2024-01-29T00:00:00"/>
    <s v="C90612"/>
    <x v="3"/>
    <n v="3"/>
    <n v="367.75"/>
    <s v="731 Main St"/>
    <x v="4"/>
    <s v="Pending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s v="Delivered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s v="Delivered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s v="Returned"/>
    <s v="TRK77377373"/>
    <n v="6"/>
    <s v="no coupon"/>
    <x v="4"/>
    <n v="2219.3200000000002"/>
  </r>
  <r>
    <s v="ORD201028"/>
    <d v="2023-02-17T00:00:00"/>
    <s v="C60042"/>
    <x v="6"/>
    <n v="4"/>
    <n v="440.31"/>
    <s v="610 Main St"/>
    <x v="4"/>
    <s v="Cancelled"/>
    <s v="TRK84651559"/>
    <n v="6"/>
    <s v="no coupon"/>
    <x v="0"/>
    <n v="1761.24"/>
  </r>
  <r>
    <s v="ORD201029"/>
    <d v="2025-03-01T00:00:00"/>
    <s v="C44733"/>
    <x v="6"/>
    <n v="1"/>
    <n v="87.06"/>
    <s v="851 Main St"/>
    <x v="2"/>
    <s v="Shipped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s v="Delivered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s v="Pending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s v="Delivered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s v="Delivered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s v="Cancelled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s v="Cancelled"/>
    <s v="TRK97732085"/>
    <n v="5"/>
    <s v="no coupon"/>
    <x v="1"/>
    <n v="2024.44"/>
  </r>
  <r>
    <s v="ORD201036"/>
    <d v="2024-05-31T00:00:00"/>
    <s v="C98278"/>
    <x v="1"/>
    <n v="3"/>
    <n v="413.83"/>
    <s v="552 Main St"/>
    <x v="3"/>
    <s v="Shipped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s v="Pending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s v="Returned"/>
    <s v="TRK28969024"/>
    <n v="5"/>
    <s v="no coupon"/>
    <x v="3"/>
    <n v="1087.5899999999999"/>
  </r>
  <r>
    <s v="ORD201039"/>
    <d v="2025-06-28T00:00:00"/>
    <s v="C49137"/>
    <x v="6"/>
    <n v="2"/>
    <n v="299.23"/>
    <s v="177 Main St"/>
    <x v="2"/>
    <s v="Cancelled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s v="Delivered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s v="Shipped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s v="Shipped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s v="Shipped"/>
    <s v="TRK94346739"/>
    <n v="5"/>
    <s v="no coupon"/>
    <x v="0"/>
    <n v="359.92"/>
  </r>
  <r>
    <s v="ORD201044"/>
    <d v="2025-06-22T00:00:00"/>
    <s v="C63018"/>
    <x v="4"/>
    <n v="1"/>
    <n v="38.49"/>
    <s v="215 Main St"/>
    <x v="2"/>
    <s v="Delivered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s v="Returned"/>
    <s v="TRK72012758"/>
    <n v="7"/>
    <s v="no coupon"/>
    <x v="2"/>
    <n v="1582"/>
  </r>
  <r>
    <s v="ORD201046"/>
    <d v="2024-10-07T00:00:00"/>
    <s v="C85421"/>
    <x v="2"/>
    <n v="3"/>
    <n v="547.15"/>
    <s v="466 Main St"/>
    <x v="1"/>
    <s v="Shipped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s v="Shipped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s v="Shipped"/>
    <s v="TRK21153699"/>
    <n v="9"/>
    <s v="no coupon"/>
    <x v="4"/>
    <n v="294.60000000000002"/>
  </r>
  <r>
    <s v="ORD201049"/>
    <d v="2024-07-18T00:00:00"/>
    <s v="C60575"/>
    <x v="6"/>
    <n v="5"/>
    <n v="391.86"/>
    <s v="587 Main St"/>
    <x v="2"/>
    <s v="Shipped"/>
    <s v="TRK44468232"/>
    <n v="6"/>
    <s v="no coupon"/>
    <x v="0"/>
    <n v="1959.3"/>
  </r>
  <r>
    <s v="ORD201050"/>
    <d v="2023-08-20T00:00:00"/>
    <s v="C70659"/>
    <x v="5"/>
    <n v="5"/>
    <n v="69.7"/>
    <s v="722 Main St"/>
    <x v="1"/>
    <s v="Returned"/>
    <s v="TRK49663597"/>
    <n v="9"/>
    <s v="no coupon"/>
    <x v="0"/>
    <n v="348.5"/>
  </r>
  <r>
    <s v="ORD201051"/>
    <d v="2025-03-05T00:00:00"/>
    <s v="C35043"/>
    <x v="0"/>
    <n v="5"/>
    <n v="26.43"/>
    <s v="820 Main St"/>
    <x v="3"/>
    <s v="Shipped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s v="Shipped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s v="Pending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s v="Delivered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s v="Delivered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s v="Pending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s v="Shipped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s v="Returned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s v="Returned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s v="Shipped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s v="Shipped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s v="Cancelled"/>
    <s v="TRK65149372"/>
    <n v="5"/>
    <s v="no coupon"/>
    <x v="3"/>
    <n v="427.6"/>
  </r>
  <r>
    <s v="ORD201063"/>
    <d v="2024-06-19T00:00:00"/>
    <s v="C42108"/>
    <x v="6"/>
    <n v="2"/>
    <n v="320.68"/>
    <s v="336 Main St"/>
    <x v="2"/>
    <s v="Shipped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s v="Returned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s v="Delivered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s v="Cancelled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s v="Returned"/>
    <s v="TRK37426359"/>
    <n v="2"/>
    <s v="no coupon"/>
    <x v="0"/>
    <n v="632.4"/>
  </r>
  <r>
    <s v="ORD201068"/>
    <d v="2024-08-03T00:00:00"/>
    <s v="C29914"/>
    <x v="5"/>
    <n v="1"/>
    <n v="133.38999999999999"/>
    <s v="469 Main St"/>
    <x v="0"/>
    <s v="Shipped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s v="Returned"/>
    <s v="TRK12518384"/>
    <n v="3"/>
    <s v="no coupon"/>
    <x v="3"/>
    <n v="454.23"/>
  </r>
  <r>
    <s v="ORD201070"/>
    <d v="2024-09-06T00:00:00"/>
    <s v="C46873"/>
    <x v="6"/>
    <n v="4"/>
    <n v="491.29"/>
    <s v="496 Main St"/>
    <x v="0"/>
    <s v="Pending"/>
    <s v="TRK10926575"/>
    <n v="6"/>
    <s v="no coupon"/>
    <x v="2"/>
    <n v="1965.16"/>
  </r>
  <r>
    <s v="ORD201071"/>
    <d v="2025-06-24T00:00:00"/>
    <s v="C94037"/>
    <x v="1"/>
    <n v="2"/>
    <n v="255.14"/>
    <s v="216 Main St"/>
    <x v="4"/>
    <s v="Shipped"/>
    <s v="TRK47536985"/>
    <n v="2"/>
    <s v="no coupon"/>
    <x v="4"/>
    <n v="510.28"/>
  </r>
  <r>
    <s v="ORD201072"/>
    <d v="2023-02-26T00:00:00"/>
    <s v="C88644"/>
    <x v="0"/>
    <n v="1"/>
    <n v="392.61"/>
    <s v="977 Main St"/>
    <x v="3"/>
    <s v="Cancelled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s v="Returned"/>
    <s v="TRK11107152"/>
    <n v="4"/>
    <s v="no coupon"/>
    <x v="3"/>
    <n v="1448.24"/>
  </r>
  <r>
    <s v="ORD201074"/>
    <d v="2024-05-10T00:00:00"/>
    <s v="C21437"/>
    <x v="1"/>
    <n v="1"/>
    <n v="222.73"/>
    <s v="120 Main St"/>
    <x v="1"/>
    <s v="Returned"/>
    <s v="TRK81624772"/>
    <n v="4"/>
    <s v="no coupon"/>
    <x v="4"/>
    <n v="222.73"/>
  </r>
  <r>
    <s v="ORD201075"/>
    <d v="2024-08-31T00:00:00"/>
    <s v="C40949"/>
    <x v="0"/>
    <n v="2"/>
    <n v="552.63"/>
    <s v="609 Main St"/>
    <x v="0"/>
    <s v="Delivered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s v="Shipped"/>
    <s v="TRK52711973"/>
    <n v="6"/>
    <s v="no coupon"/>
    <x v="1"/>
    <n v="2746.44"/>
  </r>
  <r>
    <s v="ORD201077"/>
    <d v="2025-03-07T00:00:00"/>
    <s v="C57861"/>
    <x v="4"/>
    <n v="3"/>
    <n v="305.16000000000003"/>
    <s v="115 Main St"/>
    <x v="2"/>
    <s v="Cancelled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s v="Returned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s v="Delivered"/>
    <s v="TRK99055909"/>
    <n v="8"/>
    <s v="no coupon"/>
    <x v="2"/>
    <n v="3170"/>
  </r>
  <r>
    <s v="ORD201080"/>
    <d v="2023-01-20T00:00:00"/>
    <s v="C70613"/>
    <x v="5"/>
    <n v="5"/>
    <n v="464.74"/>
    <s v="438 Main St"/>
    <x v="3"/>
    <s v="Delivered"/>
    <s v="TRK33140293"/>
    <n v="7"/>
    <s v="no coupon"/>
    <x v="1"/>
    <n v="2323.6999999999998"/>
  </r>
  <r>
    <s v="ORD201081"/>
    <d v="2023-04-21T00:00:00"/>
    <s v="C55636"/>
    <x v="0"/>
    <n v="4"/>
    <n v="425.6"/>
    <s v="494 Main St"/>
    <x v="2"/>
    <s v="Pending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s v="Pending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s v="Delivered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s v="Pending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s v="Shipped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s v="Pending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s v="Shipped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s v="Shipped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s v="Shipped"/>
    <s v="TRK66967997"/>
    <n v="2"/>
    <s v="no coupon"/>
    <x v="0"/>
    <n v="1199.48"/>
  </r>
  <r>
    <s v="ORD201090"/>
    <d v="2023-02-25T00:00:00"/>
    <s v="C61225"/>
    <x v="0"/>
    <n v="2"/>
    <n v="650.25"/>
    <s v="996 Main St"/>
    <x v="3"/>
    <s v="Returned"/>
    <s v="TRK37022954"/>
    <n v="6"/>
    <s v="no coupon"/>
    <x v="0"/>
    <n v="1300.5"/>
  </r>
  <r>
    <s v="ORD201091"/>
    <d v="2024-10-08T00:00:00"/>
    <s v="C16400"/>
    <x v="5"/>
    <n v="3"/>
    <n v="209.48"/>
    <s v="123 Main St"/>
    <x v="0"/>
    <s v="Pending"/>
    <s v="TRK57771859"/>
    <n v="4"/>
    <s v="no coupon"/>
    <x v="2"/>
    <n v="628.43999999999994"/>
  </r>
  <r>
    <s v="ORD201092"/>
    <d v="2023-08-21T00:00:00"/>
    <s v="C38642"/>
    <x v="5"/>
    <n v="5"/>
    <n v="209.2"/>
    <s v="930 Main St"/>
    <x v="0"/>
    <s v="Delivered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s v="Returned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s v="Shipped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s v="Delivered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s v="Returned"/>
    <s v="TRK49482923"/>
    <n v="2"/>
    <s v="no coupon"/>
    <x v="3"/>
    <n v="929.84"/>
  </r>
  <r>
    <s v="ORD201097"/>
    <d v="2024-12-26T00:00:00"/>
    <s v="C81370"/>
    <x v="0"/>
    <n v="5"/>
    <n v="506.45"/>
    <s v="344 Main St"/>
    <x v="3"/>
    <s v="Shipped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s v="Delivered"/>
    <s v="TRK91653000"/>
    <n v="7"/>
    <s v="no coupon"/>
    <x v="2"/>
    <n v="1023.44"/>
  </r>
  <r>
    <s v="ORD201099"/>
    <d v="2024-09-19T00:00:00"/>
    <s v="C21953"/>
    <x v="5"/>
    <n v="2"/>
    <n v="125.23"/>
    <s v="272 Main St"/>
    <x v="4"/>
    <s v="Cancelled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s v="Cancelled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s v="Pending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s v="Shipped"/>
    <s v="TRK86192984"/>
    <n v="8"/>
    <s v="no coupon"/>
    <x v="0"/>
    <n v="1388.68"/>
  </r>
  <r>
    <s v="ORD201103"/>
    <d v="2023-04-24T00:00:00"/>
    <s v="C90292"/>
    <x v="5"/>
    <n v="4"/>
    <n v="276.32"/>
    <s v="129 Main St"/>
    <x v="1"/>
    <s v="Delivered"/>
    <s v="TRK26270357"/>
    <n v="5"/>
    <s v="no coupon"/>
    <x v="4"/>
    <n v="1105.28"/>
  </r>
  <r>
    <s v="ORD201104"/>
    <d v="2024-07-25T00:00:00"/>
    <s v="C17075"/>
    <x v="2"/>
    <n v="4"/>
    <n v="314.76"/>
    <s v="850 Main St"/>
    <x v="1"/>
    <s v="Shipped"/>
    <s v="TRK63547510"/>
    <n v="8"/>
    <s v="no coupon"/>
    <x v="0"/>
    <n v="1259.04"/>
  </r>
  <r>
    <s v="ORD201105"/>
    <d v="2024-01-08T00:00:00"/>
    <s v="C12487"/>
    <x v="2"/>
    <n v="3"/>
    <n v="475.69"/>
    <s v="884 Main St"/>
    <x v="3"/>
    <s v="Cancelled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s v="Cancelled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s v="Cancelled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s v="Cancelled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s v="Returned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s v="Shipped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s v="Cancelled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s v="Delivered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s v="Delivered"/>
    <s v="TRK80819053"/>
    <n v="8"/>
    <s v="no coupon"/>
    <x v="4"/>
    <n v="839.96"/>
  </r>
  <r>
    <s v="ORD201114"/>
    <d v="2023-03-16T00:00:00"/>
    <s v="C55164"/>
    <x v="2"/>
    <n v="3"/>
    <n v="659.88"/>
    <s v="609 Main St"/>
    <x v="3"/>
    <s v="Cancelled"/>
    <s v="TRK79610967"/>
    <n v="3"/>
    <s v="no coupon"/>
    <x v="4"/>
    <n v="1979.64"/>
  </r>
  <r>
    <s v="ORD201115"/>
    <d v="2025-06-20T00:00:00"/>
    <s v="C70426"/>
    <x v="5"/>
    <n v="2"/>
    <n v="336.32"/>
    <s v="562 Main St"/>
    <x v="1"/>
    <s v="Returned"/>
    <s v="TRK89687816"/>
    <n v="3"/>
    <s v="no coupon"/>
    <x v="4"/>
    <n v="672.64"/>
  </r>
  <r>
    <s v="ORD201116"/>
    <d v="2023-10-14T00:00:00"/>
    <s v="C69149"/>
    <x v="4"/>
    <n v="2"/>
    <n v="531.49"/>
    <s v="562 Main St"/>
    <x v="2"/>
    <s v="Delivered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s v="Shipped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s v="Returned"/>
    <s v="TRK99102265"/>
    <n v="4"/>
    <s v="no coupon"/>
    <x v="2"/>
    <n v="754.43999999999994"/>
  </r>
  <r>
    <s v="ORD201119"/>
    <d v="2024-11-24T00:00:00"/>
    <s v="C99024"/>
    <x v="5"/>
    <n v="1"/>
    <n v="684.65"/>
    <s v="250 Main St"/>
    <x v="2"/>
    <s v="Delivered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s v="Pending"/>
    <s v="TRK82416295"/>
    <n v="3"/>
    <s v="no coupon"/>
    <x v="3"/>
    <n v="195.86"/>
  </r>
  <r>
    <s v="ORD201121"/>
    <d v="2023-05-28T00:00:00"/>
    <s v="C98354"/>
    <x v="1"/>
    <n v="3"/>
    <n v="50.34"/>
    <s v="393 Main St"/>
    <x v="3"/>
    <s v="Returned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s v="Returned"/>
    <s v="TRK32496970"/>
    <n v="8"/>
    <s v="no coupon"/>
    <x v="3"/>
    <n v="3390.95"/>
  </r>
  <r>
    <s v="ORD201123"/>
    <d v="2023-04-14T00:00:00"/>
    <s v="C68936"/>
    <x v="2"/>
    <n v="3"/>
    <n v="554.25"/>
    <s v="843 Main St"/>
    <x v="0"/>
    <s v="Shipped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s v="Returned"/>
    <s v="TRK40245983"/>
    <n v="5"/>
    <s v="no coupon"/>
    <x v="0"/>
    <n v="2307.48"/>
  </r>
  <r>
    <s v="ORD201125"/>
    <d v="2023-10-16T00:00:00"/>
    <s v="C23555"/>
    <x v="6"/>
    <n v="4"/>
    <n v="408.36"/>
    <s v="156 Main St"/>
    <x v="3"/>
    <s v="Cancelled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s v="Delivered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s v="Shipped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s v="Cancelled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s v="Pending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s v="Returned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s v="Pending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s v="Cancelled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s v="Returned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s v="Cancelled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s v="Shipped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s v="Pending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s v="Pending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s v="Pending"/>
    <s v="TRK55565668"/>
    <n v="4"/>
    <s v="no coupon"/>
    <x v="0"/>
    <n v="1177.6400000000001"/>
  </r>
  <r>
    <s v="ORD201139"/>
    <d v="2025-03-01T00:00:00"/>
    <s v="C70659"/>
    <x v="3"/>
    <n v="3"/>
    <n v="501.82"/>
    <s v="568 Main St"/>
    <x v="3"/>
    <s v="Cancelled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s v="Cancelled"/>
    <s v="TRK38297718"/>
    <n v="3"/>
    <s v="no coupon"/>
    <x v="1"/>
    <n v="1105.6600000000001"/>
  </r>
  <r>
    <s v="ORD201141"/>
    <d v="2025-02-16T00:00:00"/>
    <s v="C11998"/>
    <x v="3"/>
    <n v="3"/>
    <n v="498.66"/>
    <s v="382 Main St"/>
    <x v="4"/>
    <s v="Cancelled"/>
    <s v="TRK26707221"/>
    <n v="6"/>
    <s v="no coupon"/>
    <x v="2"/>
    <n v="1495.98"/>
  </r>
  <r>
    <s v="ORD201142"/>
    <d v="2024-08-23T00:00:00"/>
    <s v="C23405"/>
    <x v="1"/>
    <n v="4"/>
    <n v="695.1"/>
    <s v="484 Main St"/>
    <x v="0"/>
    <s v="Returned"/>
    <s v="TRK83678708"/>
    <n v="8"/>
    <s v="no coupon"/>
    <x v="2"/>
    <n v="2780.4"/>
  </r>
  <r>
    <s v="ORD201143"/>
    <d v="2023-04-03T00:00:00"/>
    <s v="C41132"/>
    <x v="3"/>
    <n v="1"/>
    <n v="381.61"/>
    <s v="114 Main St"/>
    <x v="0"/>
    <s v="Pending"/>
    <s v="TRK51040137"/>
    <n v="5"/>
    <s v="no coupon"/>
    <x v="2"/>
    <n v="381.61"/>
  </r>
  <r>
    <s v="ORD201144"/>
    <d v="2023-02-16T00:00:00"/>
    <s v="C88463"/>
    <x v="6"/>
    <n v="5"/>
    <n v="507.94"/>
    <s v="292 Main St"/>
    <x v="1"/>
    <s v="Cancelled"/>
    <s v="TRK88749996"/>
    <n v="9"/>
    <s v="no coupon"/>
    <x v="3"/>
    <n v="2539.6999999999998"/>
  </r>
  <r>
    <s v="ORD201145"/>
    <d v="2025-05-12T00:00:00"/>
    <s v="C28152"/>
    <x v="6"/>
    <n v="3"/>
    <n v="571.53"/>
    <s v="821 Main St"/>
    <x v="0"/>
    <s v="Delivered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s v="Pending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s v="Pending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s v="Returned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s v="Pending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s v="Cancelled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s v="Cancelled"/>
    <s v="TRK69804304"/>
    <n v="4"/>
    <s v="no coupon"/>
    <x v="4"/>
    <n v="1216.08"/>
  </r>
  <r>
    <s v="ORD201152"/>
    <d v="2023-11-09T00:00:00"/>
    <s v="C25162"/>
    <x v="2"/>
    <n v="2"/>
    <n v="344.18"/>
    <s v="533 Main St"/>
    <x v="2"/>
    <s v="Shipped"/>
    <s v="TRK42183078"/>
    <n v="7"/>
    <s v="no coupon"/>
    <x v="1"/>
    <n v="688.36"/>
  </r>
  <r>
    <s v="ORD201153"/>
    <d v="2024-12-16T00:00:00"/>
    <s v="C98317"/>
    <x v="0"/>
    <n v="4"/>
    <n v="696.71"/>
    <s v="276 Main St"/>
    <x v="0"/>
    <s v="Shipped"/>
    <s v="TRK37172138"/>
    <n v="4"/>
    <s v="no coupon"/>
    <x v="0"/>
    <n v="2786.84"/>
  </r>
  <r>
    <s v="ORD201154"/>
    <d v="2025-06-11T00:00:00"/>
    <s v="C53631"/>
    <x v="0"/>
    <n v="3"/>
    <n v="198.63"/>
    <s v="593 Main St"/>
    <x v="4"/>
    <s v="Pending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s v="Delivered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s v="Shipped"/>
    <s v="TRK98234737"/>
    <n v="9"/>
    <s v="no coupon"/>
    <x v="1"/>
    <n v="2763.12"/>
  </r>
  <r>
    <s v="ORD201157"/>
    <d v="2024-05-29T00:00:00"/>
    <s v="C25841"/>
    <x v="0"/>
    <n v="3"/>
    <n v="301.55"/>
    <s v="242 Main St"/>
    <x v="0"/>
    <s v="Delivered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s v="Pending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s v="Returned"/>
    <s v="TRK60955607"/>
    <n v="8"/>
    <s v="no coupon"/>
    <x v="0"/>
    <n v="1866.8"/>
  </r>
  <r>
    <s v="ORD201160"/>
    <d v="2024-09-04T00:00:00"/>
    <s v="C40466"/>
    <x v="6"/>
    <n v="1"/>
    <n v="541.64"/>
    <s v="449 Main St"/>
    <x v="0"/>
    <s v="Shipped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s v="Cancelled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s v="Delivered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s v="Returned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s v="Delivered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s v="Pending"/>
    <s v="TRK63460217"/>
    <n v="3"/>
    <s v="no coupon"/>
    <x v="4"/>
    <n v="671.37"/>
  </r>
  <r>
    <s v="ORD201166"/>
    <d v="2023-07-31T00:00:00"/>
    <s v="C95568"/>
    <x v="3"/>
    <n v="3"/>
    <n v="324.47000000000003"/>
    <s v="971 Main St"/>
    <x v="4"/>
    <s v="Delivered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s v="Pending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s v="Delivered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s v="Cancelled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s v="Returned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s v="Delivered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s v="Pending"/>
    <s v="TRK32550359"/>
    <n v="8"/>
    <s v="no coupon"/>
    <x v="0"/>
    <n v="395.88"/>
  </r>
  <r>
    <s v="ORD201173"/>
    <d v="2024-10-04T00:00:00"/>
    <s v="C82921"/>
    <x v="0"/>
    <n v="1"/>
    <n v="208.36"/>
    <s v="703 Main St"/>
    <x v="1"/>
    <s v="Shipped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s v="Returned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s v="Returned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s v="Cancelled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s v="Shipped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s v="Cancelled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s v="Cancelled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s v="Pending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s v="Pending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s v="Returned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s v="Shipped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s v="Returned"/>
    <s v="TRK86297895"/>
    <n v="4"/>
    <s v="no coupon"/>
    <x v="4"/>
    <n v="204.08"/>
  </r>
  <r>
    <s v="ORD201185"/>
    <d v="2024-07-08T00:00:00"/>
    <s v="C77344"/>
    <x v="3"/>
    <n v="1"/>
    <n v="343.31"/>
    <s v="777 Main St"/>
    <x v="3"/>
    <s v="Returned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s v="Shipped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s v="Delivered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s v="Shipped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s v="Cancelled"/>
    <s v="TRK60856682"/>
    <n v="7"/>
    <s v="no coupon"/>
    <x v="1"/>
    <n v="1946.1"/>
  </r>
  <r>
    <s v="ORD201190"/>
    <d v="2025-06-08T00:00:00"/>
    <s v="C46886"/>
    <x v="6"/>
    <n v="3"/>
    <n v="616.39"/>
    <s v="754 Main St"/>
    <x v="2"/>
    <s v="Shipped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s v="Pending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s v="Pending"/>
    <s v="TRK16240916"/>
    <n v="4"/>
    <s v="no coupon"/>
    <x v="0"/>
    <n v="1298.55"/>
  </r>
  <r>
    <s v="ORD201193"/>
    <d v="2025-06-16T00:00:00"/>
    <s v="C45104"/>
    <x v="2"/>
    <n v="1"/>
    <n v="687.89"/>
    <s v="348 Main St"/>
    <x v="4"/>
    <s v="Returned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s v="Pending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s v="Cancelled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s v="Cancelled"/>
    <s v="TRK69207593"/>
    <n v="5"/>
    <s v="no coupon"/>
    <x v="3"/>
    <n v="1325.06"/>
  </r>
  <r>
    <s v="ORD201197"/>
    <d v="2023-07-13T00:00:00"/>
    <s v="C79674"/>
    <x v="2"/>
    <n v="2"/>
    <n v="436.84"/>
    <s v="275 Main St"/>
    <x v="1"/>
    <s v="Delivered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s v="Cancelled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s v="Returned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152C2-1AD8-44EC-A469-3DC30E7D60A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5" firstHeaderRow="1" firstDataRow="2" firstDataCol="1"/>
  <pivotFields count="14">
    <pivotField showAll="0"/>
    <pivotField numFmtId="164" showAll="0"/>
    <pivotField showAll="0"/>
    <pivotField axis="axisCol"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AD3C6-6683-4F11-ACE6-B6581DA81E0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5" firstHeaderRow="1" firstDataRow="2" firstDataCol="1"/>
  <pivotFields count="14">
    <pivotField showAll="0"/>
    <pivotField numFmtId="164" showAll="0"/>
    <pivotField showAll="0"/>
    <pivotField axis="axisCol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3"/>
  </colFields>
  <colItems count="8">
    <i>
      <x v="4"/>
    </i>
    <i>
      <x v="1"/>
    </i>
    <i>
      <x v="3"/>
    </i>
    <i>
      <x v="6"/>
    </i>
    <i>
      <x v="2"/>
    </i>
    <i>
      <x v="5"/>
    </i>
    <i>
      <x/>
    </i>
    <i t="grand">
      <x/>
    </i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667E5-F522-4BD1-95AD-78630398D5C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" firstHeaderRow="1" firstDataRow="2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Col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yment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2EB99-9489-409F-979F-912BBF7CD7FF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" firstHeaderRow="1" firstDataRow="2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sortType="a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Items count="1">
    <i/>
  </rowItems>
  <colFields count="1">
    <field x="12"/>
  </colFields>
  <colItems count="6">
    <i>
      <x v="4"/>
    </i>
    <i>
      <x v="1"/>
    </i>
    <i>
      <x v="2"/>
    </i>
    <i>
      <x/>
    </i>
    <i>
      <x v="3"/>
    </i>
    <i t="grand">
      <x/>
    </i>
  </colItems>
  <dataFields count="1">
    <dataField name="Count of ReferralSourc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ABEE5-1A15-4AA9-BD7E-4A259DE1A2E3}" name="Table1" displayName="Table1" ref="A1:N1201" totalsRowShown="0">
  <autoFilter ref="A1:N1201" xr:uid="{9B6ABEE5-1A15-4AA9-BD7E-4A259DE1A2E3}"/>
  <tableColumns count="14">
    <tableColumn id="1" xr3:uid="{CA23C9F4-E4DF-4AC5-9BDB-D37352AECF59}" name="OrderID"/>
    <tableColumn id="2" xr3:uid="{1300BC46-B32A-42A1-9FFE-3DFD93CF9D09}" name="Date"/>
    <tableColumn id="3" xr3:uid="{979EDAC0-1A96-4871-BDAD-FC929D71E734}" name="CustomerID"/>
    <tableColumn id="4" xr3:uid="{C16F095D-3736-4927-AC9E-077515CBACC4}" name="Product"/>
    <tableColumn id="5" xr3:uid="{78923C4D-A072-47B8-AE71-14D8F47E4231}" name="Quantity"/>
    <tableColumn id="6" xr3:uid="{74A5B752-17EE-45A8-BFA5-FB5DF47CB25C}" name="UnitPrice"/>
    <tableColumn id="7" xr3:uid="{C1F91027-91DB-4CEB-82AF-809A1421BE76}" name="ShippingAddress"/>
    <tableColumn id="8" xr3:uid="{50F72909-60B0-42F5-B8E2-453406169C89}" name="PaymentMethod"/>
    <tableColumn id="9" xr3:uid="{0F127DE8-416B-4D86-921B-3F1844DCFAD4}" name="OrderStatus"/>
    <tableColumn id="10" xr3:uid="{C12EBD1D-6BDA-48CF-AF33-C96F75F6FF99}" name="TrackingNumber"/>
    <tableColumn id="11" xr3:uid="{4DB1A643-B795-4AD5-B3CD-778F4108ABB6}" name="ItemsInCart"/>
    <tableColumn id="12" xr3:uid="{A1947586-E00B-41C9-9428-92755CACC807}" name="CouponCode"/>
    <tableColumn id="13" xr3:uid="{C1DD5FAB-0E1C-48B6-8BE9-66279EDA5FA2}" name="ReferralSource"/>
    <tableColumn id="14" xr3:uid="{68306C54-8948-43B5-9FFC-2BE89D7DD2C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8CC8-29A2-4764-B3C2-B9A652BA0956}">
  <dimension ref="A3:I5"/>
  <sheetViews>
    <sheetView workbookViewId="0">
      <selection activeCell="A3" sqref="A3:I5"/>
    </sheetView>
  </sheetViews>
  <sheetFormatPr defaultRowHeight="14.4" x14ac:dyDescent="0.3"/>
  <cols>
    <col min="1" max="2" width="15.5546875" bestFit="1" customWidth="1"/>
    <col min="3" max="3" width="5" bestFit="1" customWidth="1"/>
    <col min="4" max="4" width="6.88671875" bestFit="1" customWidth="1"/>
    <col min="5" max="5" width="7.88671875" bestFit="1" customWidth="1"/>
    <col min="6" max="6" width="6.44140625" bestFit="1" customWidth="1"/>
    <col min="7" max="7" width="6.6640625" bestFit="1" customWidth="1"/>
    <col min="8" max="8" width="6.21875" bestFit="1" customWidth="1"/>
    <col min="9" max="9" width="10.77734375" bestFit="1" customWidth="1"/>
  </cols>
  <sheetData>
    <row r="3" spans="1:9" x14ac:dyDescent="0.3">
      <c r="B3" s="3" t="s">
        <v>4288</v>
      </c>
    </row>
    <row r="4" spans="1:9" x14ac:dyDescent="0.3">
      <c r="B4" t="s">
        <v>2406</v>
      </c>
      <c r="C4" t="s">
        <v>2409</v>
      </c>
      <c r="D4" t="s">
        <v>2408</v>
      </c>
      <c r="E4" t="s">
        <v>2403</v>
      </c>
      <c r="F4" t="s">
        <v>2404</v>
      </c>
      <c r="G4" t="s">
        <v>2407</v>
      </c>
      <c r="H4" t="s">
        <v>2405</v>
      </c>
      <c r="I4" t="s">
        <v>4289</v>
      </c>
    </row>
    <row r="5" spans="1:9" x14ac:dyDescent="0.3">
      <c r="A5" t="s">
        <v>4290</v>
      </c>
      <c r="B5" s="4">
        <v>178</v>
      </c>
      <c r="C5" s="4">
        <v>170</v>
      </c>
      <c r="D5" s="4">
        <v>173</v>
      </c>
      <c r="E5" s="4">
        <v>163</v>
      </c>
      <c r="F5" s="4">
        <v>156</v>
      </c>
      <c r="G5" s="4">
        <v>181</v>
      </c>
      <c r="H5" s="4">
        <v>179</v>
      </c>
      <c r="I5" s="4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2683-0A5B-4FC0-8013-9B73C339FD4E}">
  <dimension ref="A3:I5"/>
  <sheetViews>
    <sheetView tabSelected="1" workbookViewId="0">
      <selection activeCell="B17" sqref="B17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8" width="10" bestFit="1" customWidth="1"/>
    <col min="9" max="9" width="11" bestFit="1" customWidth="1"/>
  </cols>
  <sheetData>
    <row r="3" spans="1:9" x14ac:dyDescent="0.3">
      <c r="B3" s="3" t="s">
        <v>4288</v>
      </c>
    </row>
    <row r="4" spans="1:9" x14ac:dyDescent="0.3">
      <c r="B4" t="s">
        <v>2404</v>
      </c>
      <c r="C4" t="s">
        <v>2409</v>
      </c>
      <c r="D4" t="s">
        <v>2403</v>
      </c>
      <c r="E4" t="s">
        <v>2405</v>
      </c>
      <c r="F4" t="s">
        <v>2408</v>
      </c>
      <c r="G4" t="s">
        <v>2407</v>
      </c>
      <c r="H4" t="s">
        <v>2406</v>
      </c>
      <c r="I4" t="s">
        <v>4289</v>
      </c>
    </row>
    <row r="5" spans="1:9" x14ac:dyDescent="0.3">
      <c r="A5" t="s">
        <v>4291</v>
      </c>
      <c r="B5" s="4">
        <v>151722.39000000001</v>
      </c>
      <c r="C5" s="4">
        <v>167459.93</v>
      </c>
      <c r="D5" s="4">
        <v>175651.40999999997</v>
      </c>
      <c r="E5" s="4">
        <v>186568.95000000007</v>
      </c>
      <c r="F5" s="4">
        <v>192126.55999999994</v>
      </c>
      <c r="G5" s="4">
        <v>195612.60999999996</v>
      </c>
      <c r="H5" s="4">
        <v>195620.11000000002</v>
      </c>
      <c r="I5" s="4">
        <v>1264761.96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265D-6373-4E0F-823F-E5AFDC40B55E}">
  <dimension ref="A3:G5"/>
  <sheetViews>
    <sheetView workbookViewId="0">
      <selection activeCell="A3" sqref="A3:G5"/>
      <pivotSelection pane="bottomRight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10.33203125" bestFit="1" customWidth="1"/>
    <col min="4" max="4" width="9.77734375" bestFit="1" customWidth="1"/>
    <col min="5" max="5" width="8.33203125" bestFit="1" customWidth="1"/>
    <col min="6" max="6" width="6.44140625" bestFit="1" customWidth="1"/>
    <col min="7" max="7" width="10.77734375" bestFit="1" customWidth="1"/>
  </cols>
  <sheetData>
    <row r="3" spans="1:7" x14ac:dyDescent="0.3">
      <c r="B3" s="3" t="s">
        <v>4288</v>
      </c>
    </row>
    <row r="4" spans="1:7" x14ac:dyDescent="0.3">
      <c r="B4" t="s">
        <v>3069</v>
      </c>
      <c r="C4" t="s">
        <v>3067</v>
      </c>
      <c r="D4" t="s">
        <v>3065</v>
      </c>
      <c r="E4" t="s">
        <v>3068</v>
      </c>
      <c r="F4" t="s">
        <v>3066</v>
      </c>
      <c r="G4" t="s">
        <v>4289</v>
      </c>
    </row>
    <row r="5" spans="1:7" x14ac:dyDescent="0.3">
      <c r="A5" t="s">
        <v>4292</v>
      </c>
      <c r="B5" s="4">
        <v>246</v>
      </c>
      <c r="C5" s="4">
        <v>234</v>
      </c>
      <c r="D5" s="4">
        <v>232</v>
      </c>
      <c r="E5" s="4">
        <v>230</v>
      </c>
      <c r="F5" s="4">
        <v>258</v>
      </c>
      <c r="G5" s="4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C21C-1307-4971-9456-8D4F91240285}">
  <dimension ref="A3:G5"/>
  <sheetViews>
    <sheetView workbookViewId="0">
      <selection activeCell="A3" sqref="A3:G5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3" width="9.109375" bestFit="1" customWidth="1"/>
    <col min="4" max="4" width="6.88671875" bestFit="1" customWidth="1"/>
    <col min="5" max="5" width="5.5546875" bestFit="1" customWidth="1"/>
    <col min="6" max="6" width="9.44140625" bestFit="1" customWidth="1"/>
    <col min="7" max="7" width="10.77734375" bestFit="1" customWidth="1"/>
  </cols>
  <sheetData>
    <row r="3" spans="1:7" x14ac:dyDescent="0.3">
      <c r="B3" s="3" t="s">
        <v>4288</v>
      </c>
    </row>
    <row r="4" spans="1:7" x14ac:dyDescent="0.3">
      <c r="B4" t="s">
        <v>4279</v>
      </c>
      <c r="C4" t="s">
        <v>4281</v>
      </c>
      <c r="D4" t="s">
        <v>4282</v>
      </c>
      <c r="E4" t="s">
        <v>4280</v>
      </c>
      <c r="F4" t="s">
        <v>4278</v>
      </c>
      <c r="G4" t="s">
        <v>4289</v>
      </c>
    </row>
    <row r="5" spans="1:7" x14ac:dyDescent="0.3">
      <c r="A5" t="s">
        <v>4293</v>
      </c>
      <c r="B5" s="4">
        <v>222</v>
      </c>
      <c r="C5" s="4">
        <v>228</v>
      </c>
      <c r="D5" s="4">
        <v>241</v>
      </c>
      <c r="E5" s="4">
        <v>250</v>
      </c>
      <c r="F5" s="4">
        <v>259</v>
      </c>
      <c r="G5" s="4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workbookViewId="0">
      <selection activeCell="N1" sqref="N1:N1048576"/>
    </sheetView>
  </sheetViews>
  <sheetFormatPr defaultRowHeight="14.4" x14ac:dyDescent="0.3"/>
  <cols>
    <col min="1" max="1" width="10.6640625" bestFit="1" customWidth="1"/>
    <col min="2" max="2" width="7.10937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3">
      <c r="A2" t="s">
        <v>14</v>
      </c>
      <c r="B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7" x14ac:dyDescent="0.3">
      <c r="A3" t="s">
        <v>15</v>
      </c>
      <c r="B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P3" s="2" t="s">
        <v>4284</v>
      </c>
      <c r="Q3" s="1">
        <f>AVERAGE(N:N)</f>
        <v>1053.9683000000005</v>
      </c>
    </row>
    <row r="4" spans="1:17" x14ac:dyDescent="0.3">
      <c r="A4" t="s">
        <v>16</v>
      </c>
      <c r="B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P4" s="2" t="s">
        <v>4286</v>
      </c>
      <c r="Q4" s="1">
        <f>MEDIAN(N:N)</f>
        <v>823.61500000000001</v>
      </c>
    </row>
    <row r="5" spans="1:17" x14ac:dyDescent="0.3">
      <c r="A5" t="s">
        <v>17</v>
      </c>
      <c r="B5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P5" s="2" t="s">
        <v>4285</v>
      </c>
      <c r="Q5" s="1">
        <f>COUNT(N:N)</f>
        <v>1200</v>
      </c>
    </row>
    <row r="6" spans="1:17" x14ac:dyDescent="0.3">
      <c r="A6" t="s">
        <v>18</v>
      </c>
      <c r="B6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P6" s="2" t="s">
        <v>4287</v>
      </c>
      <c r="Q6" s="1">
        <f>SUM(N:N)</f>
        <v>1264761.9600000004</v>
      </c>
    </row>
    <row r="7" spans="1:17" x14ac:dyDescent="0.3">
      <c r="A7" t="s">
        <v>19</v>
      </c>
      <c r="B7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7" x14ac:dyDescent="0.3">
      <c r="A8" t="s">
        <v>20</v>
      </c>
      <c r="B8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7" x14ac:dyDescent="0.3">
      <c r="A9" t="s">
        <v>21</v>
      </c>
      <c r="B9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7" x14ac:dyDescent="0.3">
      <c r="A10" t="s">
        <v>22</v>
      </c>
      <c r="B10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7" x14ac:dyDescent="0.3">
      <c r="A11" t="s">
        <v>23</v>
      </c>
      <c r="B1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7" x14ac:dyDescent="0.3">
      <c r="A12" t="s">
        <v>24</v>
      </c>
      <c r="B1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7" x14ac:dyDescent="0.3">
      <c r="A13" t="s">
        <v>25</v>
      </c>
      <c r="B1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7" x14ac:dyDescent="0.3">
      <c r="A14" t="s">
        <v>26</v>
      </c>
      <c r="B1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7" x14ac:dyDescent="0.3">
      <c r="A15" t="s">
        <v>27</v>
      </c>
      <c r="B15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7" x14ac:dyDescent="0.3">
      <c r="A16" t="s">
        <v>28</v>
      </c>
      <c r="B16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P3:P6">
    <cfRule type="duplicateValues" dxfId="2" priority="3"/>
  </conditionalFormatting>
  <conditionalFormatting sqref="B1202:B1048576">
    <cfRule type="duplicateValues" dxfId="1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c2d</dc:creator>
  <cp:lastModifiedBy>c2d</cp:lastModifiedBy>
  <cp:lastPrinted>2026-07-03T13:17:29Z</cp:lastPrinted>
  <dcterms:created xsi:type="dcterms:W3CDTF">2025-06-21T13:19:12Z</dcterms:created>
  <dcterms:modified xsi:type="dcterms:W3CDTF">2026-07-03T15:01:10Z</dcterms:modified>
</cp:coreProperties>
</file>